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F:\Utility\Tou\Tou\NotebooLM - AI\Sổ theo dõi chi cho khách hàng\Chi nhánh Nguyễn Cư Trinh không có cent lẻ\"/>
    </mc:Choice>
  </mc:AlternateContent>
  <xr:revisionPtr revIDLastSave="0" documentId="13_ncr:1_{EFBB1E8D-04F8-468E-8251-F56E16C4B066}" xr6:coauthVersionLast="47" xr6:coauthVersionMax="47" xr10:uidLastSave="{00000000-0000-0000-0000-000000000000}"/>
  <bookViews>
    <workbookView xWindow="-103" yWindow="-103" windowWidth="22149" windowHeight="11949" firstSheet="18" activeTab="29" xr2:uid="{00000000-000D-0000-FFFF-FFFF00000000}"/>
  </bookViews>
  <sheets>
    <sheet name="0101" sheetId="1" r:id="rId1"/>
    <sheet name="0201" sheetId="2" r:id="rId2"/>
    <sheet name="0301" sheetId="3" r:id="rId3"/>
    <sheet name="0401" sheetId="4" r:id="rId4"/>
    <sheet name="0501" sheetId="5" r:id="rId5"/>
    <sheet name="0601" sheetId="6" r:id="rId6"/>
    <sheet name="0701" sheetId="7" r:id="rId7"/>
    <sheet name="0801" sheetId="8" r:id="rId8"/>
    <sheet name="0901" sheetId="9" r:id="rId9"/>
    <sheet name="1001" sheetId="10" r:id="rId10"/>
    <sheet name="1101" sheetId="11" r:id="rId11"/>
    <sheet name="1201" sheetId="12" r:id="rId12"/>
    <sheet name="1301" sheetId="13" r:id="rId13"/>
    <sheet name="1401" sheetId="14" r:id="rId14"/>
    <sheet name="1501" sheetId="15" r:id="rId15"/>
    <sheet name="1601" sheetId="16" r:id="rId16"/>
    <sheet name="1701" sheetId="17" r:id="rId17"/>
    <sheet name="1801" sheetId="18" r:id="rId18"/>
    <sheet name="1901" sheetId="19" r:id="rId19"/>
    <sheet name="2001" sheetId="20" r:id="rId20"/>
    <sheet name="2101" sheetId="21" r:id="rId21"/>
    <sheet name="2201" sheetId="22" r:id="rId22"/>
    <sheet name="2301" sheetId="23" r:id="rId23"/>
    <sheet name="2401" sheetId="24" r:id="rId24"/>
    <sheet name="2501" sheetId="25" r:id="rId25"/>
    <sheet name="2601" sheetId="26" r:id="rId26"/>
    <sheet name="2701" sheetId="27" r:id="rId27"/>
    <sheet name="2801" sheetId="28" r:id="rId28"/>
    <sheet name="2901" sheetId="29" r:id="rId29"/>
    <sheet name="3001" sheetId="30" r:id="rId30"/>
    <sheet name="3101" sheetId="31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5" i="31" l="1"/>
  <c r="J56" i="30"/>
  <c r="J55" i="29"/>
  <c r="J46" i="28"/>
  <c r="J49" i="27"/>
  <c r="J44" i="26"/>
  <c r="J36" i="25"/>
  <c r="J46" i="23"/>
  <c r="J41" i="22"/>
  <c r="J46" i="21"/>
  <c r="J40" i="20"/>
  <c r="J29" i="18"/>
  <c r="J48" i="17"/>
  <c r="J52" i="16"/>
  <c r="J43" i="15"/>
  <c r="J61" i="14"/>
  <c r="J42" i="13"/>
  <c r="J60" i="12"/>
  <c r="J54" i="9"/>
  <c r="J56" i="8"/>
  <c r="J50" i="6"/>
  <c r="J88" i="5"/>
  <c r="J41" i="3"/>
  <c r="J33" i="1"/>
  <c r="F8" i="30"/>
  <c r="F8" i="29"/>
  <c r="F8" i="28"/>
  <c r="H49" i="27"/>
  <c r="F8" i="27"/>
  <c r="H44" i="26"/>
  <c r="F8" i="26"/>
  <c r="J38" i="24"/>
  <c r="F8" i="23"/>
  <c r="F8" i="22"/>
  <c r="F8" i="21"/>
  <c r="J52" i="19"/>
  <c r="F8" i="20"/>
  <c r="F8" i="19"/>
  <c r="F8" i="16"/>
  <c r="F43" i="15"/>
  <c r="F8" i="15"/>
  <c r="F61" i="14"/>
  <c r="F42" i="13"/>
  <c r="F8" i="13"/>
  <c r="F60" i="12"/>
  <c r="F8" i="12"/>
  <c r="J31" i="10"/>
  <c r="F8" i="9"/>
  <c r="F54" i="9" s="1"/>
  <c r="F56" i="8"/>
  <c r="F8" i="8"/>
  <c r="J60" i="7"/>
  <c r="F8" i="7"/>
  <c r="F60" i="7"/>
  <c r="F8" i="6"/>
  <c r="E50" i="6"/>
  <c r="F50" i="6"/>
  <c r="E88" i="5"/>
  <c r="F88" i="5"/>
  <c r="F8" i="5"/>
  <c r="AZ3" i="31" l="1"/>
  <c r="AZ3" i="30"/>
  <c r="AZ3" i="29"/>
  <c r="AZ3" i="28"/>
  <c r="AZ3" i="27"/>
  <c r="AZ3" i="26"/>
  <c r="AZ3" i="25"/>
  <c r="AZ3" i="24"/>
  <c r="AZ3" i="23"/>
  <c r="AZ3" i="22"/>
  <c r="AZ3" i="21"/>
  <c r="AZ3" i="20"/>
  <c r="AZ3" i="19"/>
  <c r="AZ3" i="18"/>
  <c r="AZ3" i="17"/>
  <c r="AZ3" i="16"/>
  <c r="AZ3" i="15"/>
  <c r="AZ3" i="14"/>
  <c r="AZ3" i="13"/>
  <c r="AZ3" i="12"/>
  <c r="AZ3" i="11"/>
  <c r="AZ3" i="10"/>
  <c r="AZ3" i="9"/>
  <c r="AZ3" i="8"/>
  <c r="AZ3" i="7"/>
  <c r="AZ3" i="6"/>
  <c r="AZ3" i="5"/>
  <c r="AZ3" i="4"/>
  <c r="AZ3" i="3"/>
  <c r="AZ3" i="2"/>
  <c r="AZ3" i="1"/>
</calcChain>
</file>

<file path=xl/sharedStrings.xml><?xml version="1.0" encoding="utf-8"?>
<sst xmlns="http://schemas.openxmlformats.org/spreadsheetml/2006/main" count="3056" uniqueCount="2065">
  <si>
    <t xml:space="preserve">STT </t>
  </si>
  <si>
    <t>MTCN</t>
  </si>
  <si>
    <t>USD</t>
  </si>
  <si>
    <t>000vnd/h2</t>
  </si>
  <si>
    <t>TOTAL</t>
  </si>
  <si>
    <t>B CMT8 P13 Q10</t>
  </si>
  <si>
    <t>VND</t>
  </si>
  <si>
    <t>Tồn</t>
  </si>
  <si>
    <t>Chi</t>
  </si>
  <si>
    <t>Ngày</t>
  </si>
  <si>
    <t>Họ &amp; tên người nhận</t>
  </si>
  <si>
    <t xml:space="preserve">BÁO CÁO THEO DÕI CHI TRẢ WESTERN UNION </t>
  </si>
  <si>
    <t>Tồn đầu kỳ</t>
  </si>
  <si>
    <t>Nhận từ ACB</t>
  </si>
  <si>
    <t>Giám đốc Chi nhánh</t>
  </si>
  <si>
    <t>(Ký tên &amp; đóng dấu)</t>
  </si>
  <si>
    <t>Nhận về từ Ngân hàng ACB</t>
  </si>
  <si>
    <t>Công ty TNHH TM DV PT Đống Đa
Chi nhánh Nguyễn Cư Trinh
191 Nguyễn Cư Trinh, P.NCT, Q1</t>
  </si>
  <si>
    <t xml:space="preserve"> -   </t>
  </si>
  <si>
    <t>027-363-1579</t>
  </si>
  <si>
    <t>NGUYEN THI HANG</t>
  </si>
  <si>
    <t>365-603-9524</t>
  </si>
  <si>
    <t>TRINH HAO NGUYEN</t>
  </si>
  <si>
    <t>042-842-6699</t>
  </si>
  <si>
    <t>HA VAN MANH</t>
  </si>
  <si>
    <t>084-071-4653</t>
  </si>
  <si>
    <t>HONG XUAN MAI</t>
  </si>
  <si>
    <t>050-751-4065</t>
  </si>
  <si>
    <t>NHI YEN THI NGUYEN</t>
  </si>
  <si>
    <t>835-613-0833</t>
  </si>
  <si>
    <t>LE THI THUY KHANH</t>
  </si>
  <si>
    <t>573-663-2736</t>
  </si>
  <si>
    <t>BICH NGOC BUI THI</t>
  </si>
  <si>
    <t>199-895-0912</t>
  </si>
  <si>
    <t>FAUSIGIAH FAUSIGIAH</t>
  </si>
  <si>
    <t>724-832-4013</t>
  </si>
  <si>
    <t>PHUONG NGUYEN THI THUY</t>
  </si>
  <si>
    <t>951-626-1522</t>
  </si>
  <si>
    <t>941-427-1540</t>
  </si>
  <si>
    <t>CATHY MARIE BARIQUIT</t>
  </si>
  <si>
    <t>520-455-3800</t>
  </si>
  <si>
    <t>NGUYEN DU HOAI</t>
  </si>
  <si>
    <t>825-032-5987</t>
  </si>
  <si>
    <t>DANG THI KIM NGAN</t>
  </si>
  <si>
    <t>491-879-5868</t>
  </si>
  <si>
    <t>NGUYEN THI THAO NGUYEN</t>
  </si>
  <si>
    <t>410-119-2961</t>
  </si>
  <si>
    <t>DIEN VAN LE</t>
  </si>
  <si>
    <t>214-121-8334</t>
  </si>
  <si>
    <t>NGUYEN THI KIM HONG</t>
  </si>
  <si>
    <t>674-268-9144</t>
  </si>
  <si>
    <t>THI THU NGA NGO</t>
  </si>
  <si>
    <t>585-121-6309</t>
  </si>
  <si>
    <t>TA THI THANH PHUONG</t>
  </si>
  <si>
    <t>061-323-4203</t>
  </si>
  <si>
    <t>QUOC DAT HOANG</t>
  </si>
  <si>
    <t>521-031-2109</t>
  </si>
  <si>
    <t>VY TRIEU HONG</t>
  </si>
  <si>
    <t>494-817-4927</t>
  </si>
  <si>
    <t>987-864-3013</t>
  </si>
  <si>
    <t>VO NGOC MINH CHAU</t>
  </si>
  <si>
    <t>079-059-6880</t>
  </si>
  <si>
    <t>NGUYEN LE PHUONG THAO</t>
  </si>
  <si>
    <t>456-920-6341</t>
  </si>
  <si>
    <t>THANH LUAN NGO</t>
  </si>
  <si>
    <t>358-860-0791</t>
  </si>
  <si>
    <t>NGUYEN THI CAM TRINH</t>
  </si>
  <si>
    <t>292-058-1654</t>
  </si>
  <si>
    <t>NGUYEN HUY KINH</t>
  </si>
  <si>
    <t>584-661-4081</t>
  </si>
  <si>
    <t>XUYEN KIEN THI MUI</t>
  </si>
  <si>
    <t>621-313-0281</t>
  </si>
  <si>
    <t>LOC VAN TRAN</t>
  </si>
  <si>
    <t>496-701-0027</t>
  </si>
  <si>
    <t>THAM THI HONG LUONG</t>
  </si>
  <si>
    <t>717-100-1955</t>
  </si>
  <si>
    <t>SON THANH TRAN</t>
  </si>
  <si>
    <t>924-512-8504</t>
  </si>
  <si>
    <t>THI LE HUYEN NGUYEN</t>
  </si>
  <si>
    <t>729-902-6859</t>
  </si>
  <si>
    <t>TRUONG HUYNH HUONG</t>
  </si>
  <si>
    <t>698-371-4629</t>
  </si>
  <si>
    <t>843-106-6397</t>
  </si>
  <si>
    <t>DIVYA SAMA</t>
  </si>
  <si>
    <t>725-619-1773</t>
  </si>
  <si>
    <t>NGUYEN HOANG TIEN</t>
  </si>
  <si>
    <t>806-669-4381</t>
  </si>
  <si>
    <t>CONAR REGAN SHAW</t>
  </si>
  <si>
    <t>513-415-8313</t>
  </si>
  <si>
    <t>563-219-7114</t>
  </si>
  <si>
    <t>DANH LE PHAM</t>
  </si>
  <si>
    <t>888-854-9385</t>
  </si>
  <si>
    <t>NGUYEN HOANG NAM</t>
  </si>
  <si>
    <t>324-840-4524</t>
  </si>
  <si>
    <t>THUY TIEN TRAN</t>
  </si>
  <si>
    <t>785-649-8655</t>
  </si>
  <si>
    <t>YEW KEE CHOU</t>
  </si>
  <si>
    <t>517-438-9506</t>
  </si>
  <si>
    <t>EUAN DANIEL ALASTAIR GRIMSHAW</t>
  </si>
  <si>
    <t>061-894-6842</t>
  </si>
  <si>
    <t>THI HONG DAO LE</t>
  </si>
  <si>
    <t>641-518-9949</t>
  </si>
  <si>
    <t>GARETH MICHAEL JONES</t>
  </si>
  <si>
    <t>100-692-0698</t>
  </si>
  <si>
    <t>DINH NGUYEN NGUYEN</t>
  </si>
  <si>
    <t>189-118-7241</t>
  </si>
  <si>
    <t>WILFREDO ROSA JR</t>
  </si>
  <si>
    <t>080-812-0935</t>
  </si>
  <si>
    <t>SANGMIN JEON</t>
  </si>
  <si>
    <t>268-239-5435</t>
  </si>
  <si>
    <t>THI TRUNG HIEN HUYNH</t>
  </si>
  <si>
    <t>373-257-8044</t>
  </si>
  <si>
    <t>SEBASTIAN PEREZ SALGUERO</t>
  </si>
  <si>
    <t>516-370-9871</t>
  </si>
  <si>
    <t>THOMAS JOHANNES VAN LIER</t>
  </si>
  <si>
    <t>473-093-1573</t>
  </si>
  <si>
    <t>183-670-5721</t>
  </si>
  <si>
    <t>TRUC THANH HUYNH</t>
  </si>
  <si>
    <t>172-694-2991</t>
  </si>
  <si>
    <t>NGO THI THU</t>
  </si>
  <si>
    <t>603-283-4784</t>
  </si>
  <si>
    <t>THI THU HUYNH</t>
  </si>
  <si>
    <t>841-444-0362</t>
  </si>
  <si>
    <t>HAO THI LE</t>
  </si>
  <si>
    <t>700-694-6575</t>
  </si>
  <si>
    <t>TONG THANH NHAN</t>
  </si>
  <si>
    <t>160-841-1207</t>
  </si>
  <si>
    <t>GABRIEL GUNTHER</t>
  </si>
  <si>
    <t>939-041-7662</t>
  </si>
  <si>
    <t>HUYNH MY TIEN</t>
  </si>
  <si>
    <t>928-378-5450</t>
  </si>
  <si>
    <t>RICHARD KLASSEN</t>
  </si>
  <si>
    <t>992-868-3558</t>
  </si>
  <si>
    <t>HO THI CAM</t>
  </si>
  <si>
    <t>556-759-3916</t>
  </si>
  <si>
    <t>635-213-1655</t>
  </si>
  <si>
    <t>MY KHUONG TRAN</t>
  </si>
  <si>
    <t>724-755-3371</t>
  </si>
  <si>
    <t>814-874-5744</t>
  </si>
  <si>
    <t>NAM PHUONG PHAN</t>
  </si>
  <si>
    <t>220-770-0277</t>
  </si>
  <si>
    <t>THI MONG DIEP LE</t>
  </si>
  <si>
    <t>095-192-2655</t>
  </si>
  <si>
    <t>VIVIEN ELAINE AYES GAVIETA</t>
  </si>
  <si>
    <t>042-846-9819</t>
  </si>
  <si>
    <t>MY DUC NGUYEN</t>
  </si>
  <si>
    <t>864-927-1351</t>
  </si>
  <si>
    <t>THANH THI TRUONG</t>
  </si>
  <si>
    <t>256-176-1139</t>
  </si>
  <si>
    <t>PHAM KIEU TRANG</t>
  </si>
  <si>
    <t>353-174-5326</t>
  </si>
  <si>
    <t>NGUYEN THI GIANG CHAN</t>
  </si>
  <si>
    <t>046-708-4488</t>
  </si>
  <si>
    <t>JUAN LUIS SANCHEZ JR</t>
  </si>
  <si>
    <t>712-736-1302</t>
  </si>
  <si>
    <t>DIEP QUANG THAI</t>
  </si>
  <si>
    <t>010-337-1126</t>
  </si>
  <si>
    <t>597-482-5326</t>
  </si>
  <si>
    <t>CHRISTOPHER RYAN MAULL</t>
  </si>
  <si>
    <t>119-096-8121</t>
  </si>
  <si>
    <t>NGUYEN MY THUY VI</t>
  </si>
  <si>
    <t>227-147-0335</t>
  </si>
  <si>
    <t>PHAM LUU YEN NHI</t>
  </si>
  <si>
    <t>165-864-1730</t>
  </si>
  <si>
    <t>LAM TINH NGHI</t>
  </si>
  <si>
    <t>027-946-1469</t>
  </si>
  <si>
    <t>125-901-8645</t>
  </si>
  <si>
    <t>TASHAWNEY LLOYD</t>
  </si>
  <si>
    <t>424-555-1638</t>
  </si>
  <si>
    <t>THI BE NGUYEN</t>
  </si>
  <si>
    <t>606-230-5721</t>
  </si>
  <si>
    <t>HA THANH NGUYEN THI</t>
  </si>
  <si>
    <t>444-693-4933</t>
  </si>
  <si>
    <t>OANH THI NGUYEN</t>
  </si>
  <si>
    <t>058-243-2963</t>
  </si>
  <si>
    <t>MARISSA JAVINES BAJINTING</t>
  </si>
  <si>
    <t>474-264-3631</t>
  </si>
  <si>
    <t>HIEN TRAN THI THU</t>
  </si>
  <si>
    <t>986-753-7569</t>
  </si>
  <si>
    <t>THU HA LUU THI</t>
  </si>
  <si>
    <t>010-790-1494</t>
  </si>
  <si>
    <t>HOANG LE MINH</t>
  </si>
  <si>
    <t>119-411-2288</t>
  </si>
  <si>
    <t>TRAM CHAU THI BICH</t>
  </si>
  <si>
    <t>473-471-2567</t>
  </si>
  <si>
    <t>124-867-3676</t>
  </si>
  <si>
    <t>DINH THI XUAN MAI</t>
  </si>
  <si>
    <t>458-118-2813</t>
  </si>
  <si>
    <t>NGOC NHAN DANG</t>
  </si>
  <si>
    <t>929-095-3793</t>
  </si>
  <si>
    <t>LAM HOANG PHU</t>
  </si>
  <si>
    <t>660-531-1260</t>
  </si>
  <si>
    <t>883-605-3036</t>
  </si>
  <si>
    <t>TRANG TRUONG THUY</t>
  </si>
  <si>
    <t>110-858-6491</t>
  </si>
  <si>
    <t>AN VINH THI LE</t>
  </si>
  <si>
    <t>977-163-4217</t>
  </si>
  <si>
    <t>TRINH THI HONG</t>
  </si>
  <si>
    <t>447-691-8837</t>
  </si>
  <si>
    <t>LE THI QUYNH NHU</t>
  </si>
  <si>
    <t>766-030-3244</t>
  </si>
  <si>
    <t>THUAN MINH TRAN</t>
  </si>
  <si>
    <t>062-418-1881</t>
  </si>
  <si>
    <t>PHAM THI KIM LAN</t>
  </si>
  <si>
    <t>690-431-7429</t>
  </si>
  <si>
    <t>HOANG VU MY TRAM</t>
  </si>
  <si>
    <t>474-712-9532</t>
  </si>
  <si>
    <t>THUAN THI HO</t>
  </si>
  <si>
    <t>481-472-6720</t>
  </si>
  <si>
    <t>LOT VAN HUYNH</t>
  </si>
  <si>
    <t>697-600-0236</t>
  </si>
  <si>
    <t>MATTHEW DARREN ANTHONY DON</t>
  </si>
  <si>
    <t>971-152-2621</t>
  </si>
  <si>
    <t>HAMZA EL IDRISSI RAGHNI</t>
  </si>
  <si>
    <t>011-913-9911</t>
  </si>
  <si>
    <t>GIANG DINH THE NGUYEN</t>
  </si>
  <si>
    <t>904-322-8052</t>
  </si>
  <si>
    <t>SAW SOE MOE AUNG</t>
  </si>
  <si>
    <t>442-511-5405</t>
  </si>
  <si>
    <t>HUYNH GIA HAN</t>
  </si>
  <si>
    <t>268-499-9034</t>
  </si>
  <si>
    <t>NGOC TRAN HUYNH</t>
  </si>
  <si>
    <t>489-488-1701</t>
  </si>
  <si>
    <t>NGUYEN THI PHUONG TRINH</t>
  </si>
  <si>
    <t>047-894-0646</t>
  </si>
  <si>
    <t>HUYNH THI KIEU HAN</t>
  </si>
  <si>
    <t>332-888-6544</t>
  </si>
  <si>
    <t>DINH HOANG THAI</t>
  </si>
  <si>
    <t>180-495-5676</t>
  </si>
  <si>
    <t>NGUYEN NGOC THANH</t>
  </si>
  <si>
    <t>063-616-5099</t>
  </si>
  <si>
    <t>BRENDAN HUNG TRAN</t>
  </si>
  <si>
    <t>887-530-2313</t>
  </si>
  <si>
    <t>NGUYEN THI NGOC QUYEN</t>
  </si>
  <si>
    <t>830-371-3372</t>
  </si>
  <si>
    <t>MARK CAYGILL</t>
  </si>
  <si>
    <t>078-837-9352</t>
  </si>
  <si>
    <t>HONG DIEM LE</t>
  </si>
  <si>
    <t>064-172-3858</t>
  </si>
  <si>
    <t>MOHAMMAD AMIR EBRAHIMI</t>
  </si>
  <si>
    <t>920-469-3564</t>
  </si>
  <si>
    <t>JEFFREY ENRIQUE DURAN MARTINEZ</t>
  </si>
  <si>
    <t>184-322-8960</t>
  </si>
  <si>
    <t>KIM THI SIEN</t>
  </si>
  <si>
    <t>254-845-8121</t>
  </si>
  <si>
    <t>PHAM THI KIM NHAT</t>
  </si>
  <si>
    <t>792-248-5076</t>
  </si>
  <si>
    <t>PHONGPHANH KHOUNTHAVONG</t>
  </si>
  <si>
    <t>954-854-2639</t>
  </si>
  <si>
    <t>NGOC HOANG HA TRUONG</t>
  </si>
  <si>
    <t>628-581-0761</t>
  </si>
  <si>
    <t>320-735-0028</t>
  </si>
  <si>
    <t>NGUYEN LE KIM LAN</t>
  </si>
  <si>
    <t>919-425-8083</t>
  </si>
  <si>
    <t>NGUYEN THI YEN NHI</t>
  </si>
  <si>
    <t>Lệnh Đống Đa</t>
  </si>
  <si>
    <t>315-496-7345</t>
  </si>
  <si>
    <t>SON VAN TRAN</t>
  </si>
  <si>
    <t>632-826-7419</t>
  </si>
  <si>
    <t>TAN THANH NGUYEN</t>
  </si>
  <si>
    <t>734-757-4657</t>
  </si>
  <si>
    <t>DUYEN THI NGUYEN</t>
  </si>
  <si>
    <t>974-086-1925</t>
  </si>
  <si>
    <t>TRAN TRONG KHOI</t>
  </si>
  <si>
    <t>641-148-6166</t>
  </si>
  <si>
    <t>KIET VAN NGUYEN</t>
  </si>
  <si>
    <t>955-478-8292</t>
  </si>
  <si>
    <t>TRINH NGOC HUYNH</t>
  </si>
  <si>
    <t>839-716-5612</t>
  </si>
  <si>
    <t>QUYEN PHAM VU HONG</t>
  </si>
  <si>
    <t>090-456-6698</t>
  </si>
  <si>
    <t>NGHI DONG LE</t>
  </si>
  <si>
    <t>254-845-3052</t>
  </si>
  <si>
    <t>ANH CHUNG LA</t>
  </si>
  <si>
    <t>745-111-2734</t>
  </si>
  <si>
    <t>LIEM THI NGUYEN</t>
  </si>
  <si>
    <t>972-250-2060</t>
  </si>
  <si>
    <t>CAY THI NGUYEN</t>
  </si>
  <si>
    <t>835-075-8507</t>
  </si>
  <si>
    <t>HUE THI HOANG</t>
  </si>
  <si>
    <t>162-082-7834</t>
  </si>
  <si>
    <t>KIM CUC PHAN</t>
  </si>
  <si>
    <t>336-871-7061</t>
  </si>
  <si>
    <t>THUY AN BUI THI</t>
  </si>
  <si>
    <t>021-340-3301</t>
  </si>
  <si>
    <t>PHUONG THI DAN LE</t>
  </si>
  <si>
    <t>227-209-3402</t>
  </si>
  <si>
    <t>CHRISTOPHER HO CUSI</t>
  </si>
  <si>
    <t>261-474-3165</t>
  </si>
  <si>
    <t>MINH THO PHAM THI</t>
  </si>
  <si>
    <t>672-239-0238</t>
  </si>
  <si>
    <t>THUY LIEN NGUYEN THI</t>
  </si>
  <si>
    <t>858-267-0334</t>
  </si>
  <si>
    <t>DUC CONG TRUONG</t>
  </si>
  <si>
    <t>040-845-9093</t>
  </si>
  <si>
    <t>PHAM THI MY DUNG</t>
  </si>
  <si>
    <t>447-015-3002</t>
  </si>
  <si>
    <t>LAM NGUYEN PHUONG</t>
  </si>
  <si>
    <t>152-030-3327</t>
  </si>
  <si>
    <t>TRI TRUNG HUYNH MINH</t>
  </si>
  <si>
    <t>712-433-6880</t>
  </si>
  <si>
    <t>TRUONG THUY TRANG DAI</t>
  </si>
  <si>
    <t>294-893-5824</t>
  </si>
  <si>
    <t>SARAH NGAN TRAN HO</t>
  </si>
  <si>
    <t>997-755-3849</t>
  </si>
  <si>
    <t>CUONG THE BUI</t>
  </si>
  <si>
    <t>289-982-2131</t>
  </si>
  <si>
    <t>370-681-6811</t>
  </si>
  <si>
    <t>TRUONG PHUOC</t>
  </si>
  <si>
    <t>852-865-6442</t>
  </si>
  <si>
    <t>216-251-9277</t>
  </si>
  <si>
    <t>HUY PHUOC VU</t>
  </si>
  <si>
    <t>259-073-3088</t>
  </si>
  <si>
    <t>SANG THANH DANG</t>
  </si>
  <si>
    <t>639-891-0937</t>
  </si>
  <si>
    <t>KIET TUAN LE</t>
  </si>
  <si>
    <t>086-278-8492</t>
  </si>
  <si>
    <t>953-029-3335</t>
  </si>
  <si>
    <t>GIANG PHAM THI TRUC</t>
  </si>
  <si>
    <t>946-344-7466</t>
  </si>
  <si>
    <t>635-216-7991</t>
  </si>
  <si>
    <t>CHARLENE JOHNSON</t>
  </si>
  <si>
    <t>097-917-9694</t>
  </si>
  <si>
    <t>LIM WEI HSI</t>
  </si>
  <si>
    <t>478-738-2404</t>
  </si>
  <si>
    <t>DAO THI KIM TUYET</t>
  </si>
  <si>
    <t>964-721-8715</t>
  </si>
  <si>
    <t>TRAN THI HOA ANH DAO</t>
  </si>
  <si>
    <t>442-505-3273</t>
  </si>
  <si>
    <t>NHU NGUYEN THANH HOANG</t>
  </si>
  <si>
    <t>041-134-9207</t>
  </si>
  <si>
    <t>THU LE NGUYEN QUYNH</t>
  </si>
  <si>
    <t>953-657-6178</t>
  </si>
  <si>
    <t>NGUYEN THI THANH NGAN</t>
  </si>
  <si>
    <t>795-659-0689</t>
  </si>
  <si>
    <t>ANH VI NGUYEN</t>
  </si>
  <si>
    <t>991-907-0831</t>
  </si>
  <si>
    <t>THI KIM NHO DO</t>
  </si>
  <si>
    <t>770-499-8090</t>
  </si>
  <si>
    <t>KEVEN NAM NGUYEN</t>
  </si>
  <si>
    <t>855-701-8598</t>
  </si>
  <si>
    <t>HUYNH THI THAO</t>
  </si>
  <si>
    <t>144-405-9441</t>
  </si>
  <si>
    <t>NGUYEN NGOC YEN</t>
  </si>
  <si>
    <t>980-908-8596</t>
  </si>
  <si>
    <t>MY THIEN TRAN</t>
  </si>
  <si>
    <t>798-825-3806</t>
  </si>
  <si>
    <t>NGUYEN THI KIM OANH</t>
  </si>
  <si>
    <t>284-820-4425</t>
  </si>
  <si>
    <t>HO THI MY LINH</t>
  </si>
  <si>
    <t>763-392-9531</t>
  </si>
  <si>
    <t>HUYNH HOANG NGUYEN</t>
  </si>
  <si>
    <t>074-168-2525</t>
  </si>
  <si>
    <t>NGUYEN HUY BINH</t>
  </si>
  <si>
    <t>920-200-3321</t>
  </si>
  <si>
    <t>TIEN DUNG TRAN</t>
  </si>
  <si>
    <t>132-411-9520</t>
  </si>
  <si>
    <t>MA QUOC TRUNG</t>
  </si>
  <si>
    <t>513-875-1684</t>
  </si>
  <si>
    <t>286-578-7148</t>
  </si>
  <si>
    <t>CELAL DOGAN</t>
  </si>
  <si>
    <t>572-798-8962</t>
  </si>
  <si>
    <t>THI HONG MUOI NGUYEN</t>
  </si>
  <si>
    <t>723-632-7459</t>
  </si>
  <si>
    <t>LOUIS CHRISTIAN EWONDE EPASSI</t>
  </si>
  <si>
    <t>498-881-0929</t>
  </si>
  <si>
    <t>THI HONG NUONG LE</t>
  </si>
  <si>
    <t>450-845-9378</t>
  </si>
  <si>
    <t>MAI LE THI NGOC</t>
  </si>
  <si>
    <t>489-620-2719</t>
  </si>
  <si>
    <t>THUY PHUONG LE</t>
  </si>
  <si>
    <t>816-727-9591</t>
  </si>
  <si>
    <t>DO THI HOANG YEN</t>
  </si>
  <si>
    <t>532-702-3501</t>
  </si>
  <si>
    <t>BACH KIEU NGA</t>
  </si>
  <si>
    <t>583-953-9834</t>
  </si>
  <si>
    <t>TAI THE PHAM</t>
  </si>
  <si>
    <t>303-629-0609</t>
  </si>
  <si>
    <t>ARMAN BERCIN</t>
  </si>
  <si>
    <t>142-201-0747</t>
  </si>
  <si>
    <t>TIEN NGUYEN TOAN ANH</t>
  </si>
  <si>
    <t>371-853-8257</t>
  </si>
  <si>
    <t>PHUONG ANH PHAN LE</t>
  </si>
  <si>
    <t>702-483-7518</t>
  </si>
  <si>
    <t>PHAM THI KIM OANH</t>
  </si>
  <si>
    <t>671-107-8313</t>
  </si>
  <si>
    <t>VAN THIEN CAO</t>
  </si>
  <si>
    <t>949-890-5556</t>
  </si>
  <si>
    <t>358-875-2032</t>
  </si>
  <si>
    <t>711-166-9774</t>
  </si>
  <si>
    <t>TRANG PHAN THI HONG</t>
  </si>
  <si>
    <t>952-512-5351</t>
  </si>
  <si>
    <t>NGUYEN THI XUAN THAO</t>
  </si>
  <si>
    <t>589-642-4643</t>
  </si>
  <si>
    <t>HOA THI NGUYEN</t>
  </si>
  <si>
    <t>675-636-5353</t>
  </si>
  <si>
    <t>PHUONG DANH</t>
  </si>
  <si>
    <t>451-215-7175</t>
  </si>
  <si>
    <t>TRAN THANH XUAN</t>
  </si>
  <si>
    <t>464-307-4685</t>
  </si>
  <si>
    <t>THI KIM NGAN HUYNH</t>
  </si>
  <si>
    <t>603-214-1280</t>
  </si>
  <si>
    <t>PHAN MINH TIEN</t>
  </si>
  <si>
    <t>266-684-6035</t>
  </si>
  <si>
    <t>HOANG THANH PHAM</t>
  </si>
  <si>
    <t>496-119-7856</t>
  </si>
  <si>
    <t>373-599-6761</t>
  </si>
  <si>
    <t>TRI MINH PHAM</t>
  </si>
  <si>
    <t>640-371-4793</t>
  </si>
  <si>
    <t>196-489-2811</t>
  </si>
  <si>
    <t>BENJAMIN CHRISTOPHER PERRY</t>
  </si>
  <si>
    <t>269-668-0806</t>
  </si>
  <si>
    <t>CHAU HUY DUONG</t>
  </si>
  <si>
    <t>088-363-6226</t>
  </si>
  <si>
    <t>THI VAN DINH</t>
  </si>
  <si>
    <t>905-049-6981</t>
  </si>
  <si>
    <t>TRINH THI HONG GAM</t>
  </si>
  <si>
    <t>409-705-5246</t>
  </si>
  <si>
    <t>KHANH PHUONG NGUYEN</t>
  </si>
  <si>
    <t>030-910-4858</t>
  </si>
  <si>
    <t>JOSEPH BOWKER</t>
  </si>
  <si>
    <t>482-535-4747</t>
  </si>
  <si>
    <t>NHI TUYET THI NGUYEN</t>
  </si>
  <si>
    <t>413-868-8939</t>
  </si>
  <si>
    <t>TRAM NGOC PHAM</t>
  </si>
  <si>
    <t>527-652-8501</t>
  </si>
  <si>
    <t>PHONG HOANG LE NGUYEN</t>
  </si>
  <si>
    <t>033-698-4076</t>
  </si>
  <si>
    <t>MARY NGUYEN</t>
  </si>
  <si>
    <t>652-673-8987</t>
  </si>
  <si>
    <t>TRINH DIEM NGUYEN</t>
  </si>
  <si>
    <t>517-448-7516</t>
  </si>
  <si>
    <t>ANH TRAM THI NGUYEN</t>
  </si>
  <si>
    <t>653-943-8268</t>
  </si>
  <si>
    <t>DOAN THI BACH VAN</t>
  </si>
  <si>
    <t>223-969-6951</t>
  </si>
  <si>
    <t>EN LAM DIM</t>
  </si>
  <si>
    <t>434-361-0578</t>
  </si>
  <si>
    <t>NGUYEN THI HOANG YEN</t>
  </si>
  <si>
    <t>137-945-4896</t>
  </si>
  <si>
    <t>CHEOL JOO HWANG</t>
  </si>
  <si>
    <t>502-123-4926</t>
  </si>
  <si>
    <t>THI OANH TRAN</t>
  </si>
  <si>
    <t>797-338-8203</t>
  </si>
  <si>
    <t>THUY TRANG NGUYEN THI</t>
  </si>
  <si>
    <t>534-265-2312</t>
  </si>
  <si>
    <t>HANH THUAN LE NGUYEN</t>
  </si>
  <si>
    <t>833-666-8651</t>
  </si>
  <si>
    <t>818-529-2624</t>
  </si>
  <si>
    <t>CAM VAN LE THI</t>
  </si>
  <si>
    <t>129-678-3793</t>
  </si>
  <si>
    <t>873-650-0305</t>
  </si>
  <si>
    <t>VO NGOC LINH NGUYEN</t>
  </si>
  <si>
    <t>338-359-7955</t>
  </si>
  <si>
    <t>SHEENA TUYET NGUYEN</t>
  </si>
  <si>
    <t>959-730-5597</t>
  </si>
  <si>
    <t>043-899-0824</t>
  </si>
  <si>
    <t>LUAN NGOC VUONG</t>
  </si>
  <si>
    <t>442-885-0565</t>
  </si>
  <si>
    <t>PHAM THI NGAN</t>
  </si>
  <si>
    <t>914-388-1571</t>
  </si>
  <si>
    <t>TA THI TUYET MAI</t>
  </si>
  <si>
    <t>200-872-7769</t>
  </si>
  <si>
    <t>SEUNG BIN PARK</t>
  </si>
  <si>
    <t>461-508-7447</t>
  </si>
  <si>
    <t>NGUYEN TIEN TRUYEN</t>
  </si>
  <si>
    <t>931-388-9006</t>
  </si>
  <si>
    <t>TU VAN PHAM THI CAM</t>
  </si>
  <si>
    <t>549-288-2451</t>
  </si>
  <si>
    <t>ANUBHAB DUTTA</t>
  </si>
  <si>
    <t>860-279-8475</t>
  </si>
  <si>
    <t>KHUONG THI NGUYEN</t>
  </si>
  <si>
    <t>178-472-3603</t>
  </si>
  <si>
    <t>668-749-8711</t>
  </si>
  <si>
    <t>NGUYEN THI THU HUONG</t>
  </si>
  <si>
    <t>176-296-3181</t>
  </si>
  <si>
    <t>CHAU NGUYEN THAI BAO</t>
  </si>
  <si>
    <t>523-917-4991</t>
  </si>
  <si>
    <t>313-302-5194</t>
  </si>
  <si>
    <t>LE HONG NAM</t>
  </si>
  <si>
    <t>132-417-8251</t>
  </si>
  <si>
    <t>KIEU THUY NGUYEN</t>
  </si>
  <si>
    <t>471-216-2345</t>
  </si>
  <si>
    <t>NGUYEN THI NGOC HOI</t>
  </si>
  <si>
    <t>551-669-9479</t>
  </si>
  <si>
    <t>TA THI KIM NGAN</t>
  </si>
  <si>
    <t>923-304-8890</t>
  </si>
  <si>
    <t>JOHN FRANCIS ROBINSON</t>
  </si>
  <si>
    <t>159-458-8431</t>
  </si>
  <si>
    <t>697-907-6249</t>
  </si>
  <si>
    <t>LY THI TRAN</t>
  </si>
  <si>
    <t>558-377-9061</t>
  </si>
  <si>
    <t>CHUONG NGOC HONG</t>
  </si>
  <si>
    <t>325-401-9841</t>
  </si>
  <si>
    <t>893-917-5258</t>
  </si>
  <si>
    <t>TRUONG TAN BUU</t>
  </si>
  <si>
    <t>046-823-4345</t>
  </si>
  <si>
    <t>VINH PHUONG DANG</t>
  </si>
  <si>
    <t>116-745-6342</t>
  </si>
  <si>
    <t>ANGELIKA DIRNBACHER</t>
  </si>
  <si>
    <t>907-640-7740</t>
  </si>
  <si>
    <t>819-490-8311</t>
  </si>
  <si>
    <t>DO THI NGOC MAI</t>
  </si>
  <si>
    <t>282-726-0818</t>
  </si>
  <si>
    <t>MIKE TRUONG</t>
  </si>
  <si>
    <t>675-876-9724</t>
  </si>
  <si>
    <t>664-431-0672</t>
  </si>
  <si>
    <t>987-023-1634</t>
  </si>
  <si>
    <t>249-052-3143</t>
  </si>
  <si>
    <t>647-468-4847</t>
  </si>
  <si>
    <t>NGOC THAO NGUYEN THI</t>
  </si>
  <si>
    <t>452-150-1043</t>
  </si>
  <si>
    <t>MAN GIA PHAM</t>
  </si>
  <si>
    <t>718-576-0986</t>
  </si>
  <si>
    <t>CAMERON LOUIS ANDERSON</t>
  </si>
  <si>
    <t>546-294-6691</t>
  </si>
  <si>
    <t>TRUONG THUC QUYEN</t>
  </si>
  <si>
    <t>681-977-6233</t>
  </si>
  <si>
    <t>197-762-2341</t>
  </si>
  <si>
    <t>THI PHUONG LAN NGUYEN</t>
  </si>
  <si>
    <t>414-233-4440</t>
  </si>
  <si>
    <t>NGOC MINH VO</t>
  </si>
  <si>
    <t>847-120-0312</t>
  </si>
  <si>
    <t>LE THI THUY TRANG</t>
  </si>
  <si>
    <t>638-334-2223</t>
  </si>
  <si>
    <t>SKANDER HERSON</t>
  </si>
  <si>
    <t>288-444-5991</t>
  </si>
  <si>
    <t>AYHAN ANLAR</t>
  </si>
  <si>
    <t>075-667-7221</t>
  </si>
  <si>
    <t>THI NGOC TRANG NGUYEN</t>
  </si>
  <si>
    <t>824-428-9745</t>
  </si>
  <si>
    <t>SANG THI TRAN</t>
  </si>
  <si>
    <t>158-362-6381</t>
  </si>
  <si>
    <t>121-085-3859</t>
  </si>
  <si>
    <t>570-892-6209</t>
  </si>
  <si>
    <t>BE THI PHAN</t>
  </si>
  <si>
    <t>353-535-0255</t>
  </si>
  <si>
    <t>KHANG HOANG NGUYEN</t>
  </si>
  <si>
    <t>776-235-2719</t>
  </si>
  <si>
    <t>VI TAI DUONG</t>
  </si>
  <si>
    <t>206-465-9464</t>
  </si>
  <si>
    <t>CHI DUNG CHAU</t>
  </si>
  <si>
    <t>902-706-4183</t>
  </si>
  <si>
    <t>JOHN-ARE BRUKET ANDREASSEN</t>
  </si>
  <si>
    <t>788-237-5938</t>
  </si>
  <si>
    <t>230-140-7424</t>
  </si>
  <si>
    <t>NGUYEN NGOC HUONG</t>
  </si>
  <si>
    <t>665-505-9168</t>
  </si>
  <si>
    <t>566-317-6261</t>
  </si>
  <si>
    <t>NGUYEN THI XUAN LOC</t>
  </si>
  <si>
    <t>984-909-1218</t>
  </si>
  <si>
    <t>THI MY HUYEN LE</t>
  </si>
  <si>
    <t>277-467-3461</t>
  </si>
  <si>
    <t>LE THI THUY TIEN</t>
  </si>
  <si>
    <t>044-129-9249</t>
  </si>
  <si>
    <t>HOAC ANH THU</t>
  </si>
  <si>
    <t>097-085-1219</t>
  </si>
  <si>
    <t>485-104-2691</t>
  </si>
  <si>
    <t>THI NGAN PHUONG VO</t>
  </si>
  <si>
    <t>034-318-6198</t>
  </si>
  <si>
    <t>NGHIA TRONG PHAM</t>
  </si>
  <si>
    <t>393-690-8551</t>
  </si>
  <si>
    <t>HOANG OANH TRAN</t>
  </si>
  <si>
    <t>789-235-6981</t>
  </si>
  <si>
    <t>ABHISHEK SINGH</t>
  </si>
  <si>
    <t>054-711-7762</t>
  </si>
  <si>
    <t>LE CONG THOI</t>
  </si>
  <si>
    <t>838-748-0598</t>
  </si>
  <si>
    <t>THI THAO TRUONG</t>
  </si>
  <si>
    <t>500-873-9429</t>
  </si>
  <si>
    <t>634-843-0081</t>
  </si>
  <si>
    <t>JAWAD HETEM</t>
  </si>
  <si>
    <t>113-684-8941</t>
  </si>
  <si>
    <t>JAWAD HETEM JNIBI</t>
  </si>
  <si>
    <t>243-260-4774</t>
  </si>
  <si>
    <t>HIEU LE NGUYEN DUY</t>
  </si>
  <si>
    <t>946-729-3497</t>
  </si>
  <si>
    <t>MINH NHUT HOANG NGUYEN</t>
  </si>
  <si>
    <t>357-798-0869</t>
  </si>
  <si>
    <t>NGUYEN NGAN HA</t>
  </si>
  <si>
    <t>588-884-9043</t>
  </si>
  <si>
    <t>324-386-2890</t>
  </si>
  <si>
    <t>237-908-6102</t>
  </si>
  <si>
    <t>NGUYEN THI NGAN</t>
  </si>
  <si>
    <t>741-946-9782</t>
  </si>
  <si>
    <t>DUY PHUC NGUYEN</t>
  </si>
  <si>
    <t>366-293-4316</t>
  </si>
  <si>
    <t>NGUYEN DINH HOAI NGUYEN</t>
  </si>
  <si>
    <t>762-025-5861</t>
  </si>
  <si>
    <t>CAM LIEN NGUYEN THI</t>
  </si>
  <si>
    <t>087-660-4805</t>
  </si>
  <si>
    <t>787-920-2244</t>
  </si>
  <si>
    <t>HENDRIKUS JOHANNES JEUKEN</t>
  </si>
  <si>
    <t>046-121-5236</t>
  </si>
  <si>
    <t>MINH LE</t>
  </si>
  <si>
    <t>806-671-3238</t>
  </si>
  <si>
    <t>HANH THI HUYNH</t>
  </si>
  <si>
    <t>645-917-2095</t>
  </si>
  <si>
    <t>SEONGMIN CHOI</t>
  </si>
  <si>
    <t>671-657-3281</t>
  </si>
  <si>
    <t>150-719-2178</t>
  </si>
  <si>
    <t>NGUYEN NGOC KIEU ANH</t>
  </si>
  <si>
    <t>541-214-1133</t>
  </si>
  <si>
    <t>THI HOANG OANH NGUYEN</t>
  </si>
  <si>
    <t>072-674-4331</t>
  </si>
  <si>
    <t>TAM THANH NGUYEN</t>
  </si>
  <si>
    <t>766-799-8716</t>
  </si>
  <si>
    <t>THI KIM LOAN PHAM</t>
  </si>
  <si>
    <t>499-778-7159</t>
  </si>
  <si>
    <t>SAMUEL MARIO ISSELHARDT</t>
  </si>
  <si>
    <t>416-489-1912</t>
  </si>
  <si>
    <t>THANG DUC DAO</t>
  </si>
  <si>
    <t>636-336-0712</t>
  </si>
  <si>
    <t>TIEN DUNG THAN</t>
  </si>
  <si>
    <t>821-802-6299</t>
  </si>
  <si>
    <t>MY TIEN NGUYEN THI</t>
  </si>
  <si>
    <t>052-348-3683</t>
  </si>
  <si>
    <t>HO KIM NGUYEN</t>
  </si>
  <si>
    <t>580-450-3823</t>
  </si>
  <si>
    <t>LOUIS FRANK WILLIAMS</t>
  </si>
  <si>
    <t>951-187-2935</t>
  </si>
  <si>
    <t>312-379-0363</t>
  </si>
  <si>
    <t>PHAM THI TRUC</t>
  </si>
  <si>
    <t>597-177-4861</t>
  </si>
  <si>
    <t>291-722-4747</t>
  </si>
  <si>
    <t>414-704-2641</t>
  </si>
  <si>
    <t>JERIC BERNABE</t>
  </si>
  <si>
    <t>894-707-7915</t>
  </si>
  <si>
    <t>TUYEN NGUYEN THI NGOC</t>
  </si>
  <si>
    <t>109-290-6394</t>
  </si>
  <si>
    <t>THI THANH PHU NGUYEN</t>
  </si>
  <si>
    <t>942-916-2599</t>
  </si>
  <si>
    <t>CARLO ALBERTO BONESI</t>
  </si>
  <si>
    <t>553-659-3219</t>
  </si>
  <si>
    <t>PHUONG UYEN LE</t>
  </si>
  <si>
    <t>106-504-3997</t>
  </si>
  <si>
    <t>DINH DUY KHOA</t>
  </si>
  <si>
    <t>902-709-0180</t>
  </si>
  <si>
    <t>KHOA DUY DINH</t>
  </si>
  <si>
    <t>377-443-0536</t>
  </si>
  <si>
    <t>THI KIM HONG NGUYEN</t>
  </si>
  <si>
    <t>633-390-3425</t>
  </si>
  <si>
    <t>THI KIM THU VO</t>
  </si>
  <si>
    <t>789-947-1708</t>
  </si>
  <si>
    <t>TRUONG THI THU HANG</t>
  </si>
  <si>
    <t>655-709-2151</t>
  </si>
  <si>
    <t>TU TRINH NGUYEN THI</t>
  </si>
  <si>
    <t>260-108-7544</t>
  </si>
  <si>
    <t>DUNG VAN NGUYEN</t>
  </si>
  <si>
    <t>547-410-9116</t>
  </si>
  <si>
    <t>331-941-5956</t>
  </si>
  <si>
    <t>250-369-5608</t>
  </si>
  <si>
    <t>171-986-1429</t>
  </si>
  <si>
    <t>NGUYEN THI MY DUNG</t>
  </si>
  <si>
    <t>959-125-7512</t>
  </si>
  <si>
    <t>TATIANA GOLYSHKOVA</t>
  </si>
  <si>
    <t>569-369-6286</t>
  </si>
  <si>
    <t>AN TRUONG HUYNH</t>
  </si>
  <si>
    <t>090-469-1227</t>
  </si>
  <si>
    <t>THINH HUU TRAN NGUYEN</t>
  </si>
  <si>
    <t>773-961-0849</t>
  </si>
  <si>
    <t>TAN DUY HOANG NGUYEN</t>
  </si>
  <si>
    <t>683-340-5996</t>
  </si>
  <si>
    <t>VANG HONG NGUYEN</t>
  </si>
  <si>
    <t>819-133-3596</t>
  </si>
  <si>
    <t>NGOC THUY VU</t>
  </si>
  <si>
    <t>441-189-6383</t>
  </si>
  <si>
    <t>NGUYEN THI KIM NGAN</t>
  </si>
  <si>
    <t>680-582-8141</t>
  </si>
  <si>
    <t>743-971-4799</t>
  </si>
  <si>
    <t>LUYEN DINH NGUYEN</t>
  </si>
  <si>
    <t>008-080-3506</t>
  </si>
  <si>
    <t>621-270-4874</t>
  </si>
  <si>
    <t>SON BA TRAN</t>
  </si>
  <si>
    <t>061-618-2937</t>
  </si>
  <si>
    <t>MONG DIEP LE THI</t>
  </si>
  <si>
    <t>384-311-6741</t>
  </si>
  <si>
    <t>NGUYEN THI BACH MAI</t>
  </si>
  <si>
    <t>851-265-8271</t>
  </si>
  <si>
    <t>124-517-2981</t>
  </si>
  <si>
    <t>CAM HONG THI TRAN</t>
  </si>
  <si>
    <t>460-732-1070</t>
  </si>
  <si>
    <t>PHAM ANH THU TRAN</t>
  </si>
  <si>
    <t>955-656-1997</t>
  </si>
  <si>
    <t>DUNG NGUYEN THI CAM</t>
  </si>
  <si>
    <t>112-527-2182</t>
  </si>
  <si>
    <t>793-152-8388</t>
  </si>
  <si>
    <t>THI TUYET LE</t>
  </si>
  <si>
    <t>808-833-5251</t>
  </si>
  <si>
    <t>VU QUOC BALOGH</t>
  </si>
  <si>
    <t>880-520-4972</t>
  </si>
  <si>
    <t>402-900-0852</t>
  </si>
  <si>
    <t>161-112-9555</t>
  </si>
  <si>
    <t>406-259-6304</t>
  </si>
  <si>
    <t>MAI THI HONG HAI</t>
  </si>
  <si>
    <t>468-856-4831</t>
  </si>
  <si>
    <t>TRUC MAI LE THI</t>
  </si>
  <si>
    <t>601-975-0668</t>
  </si>
  <si>
    <t>DANG THI KIM THI</t>
  </si>
  <si>
    <t>502-164-7417</t>
  </si>
  <si>
    <t>THUY TRAN MINH</t>
  </si>
  <si>
    <t>679-636-9863</t>
  </si>
  <si>
    <t>VU NGUYEN TRAN ANH</t>
  </si>
  <si>
    <t>285-974-6625</t>
  </si>
  <si>
    <t>TIMOTHY JOHN BOWEN</t>
  </si>
  <si>
    <t>574-767-0311</t>
  </si>
  <si>
    <t>VU DUY HAO</t>
  </si>
  <si>
    <t>168-498-7686</t>
  </si>
  <si>
    <t>NGUYEN THI TU</t>
  </si>
  <si>
    <t>535-917-0519</t>
  </si>
  <si>
    <t>MARIA RYABUKHINA</t>
  </si>
  <si>
    <t>320-752-1233</t>
  </si>
  <si>
    <t>288-702-2970</t>
  </si>
  <si>
    <t>THI MY NGOC PHAM</t>
  </si>
  <si>
    <t>284-695-0324</t>
  </si>
  <si>
    <t>NGUYEN THI LIEN</t>
  </si>
  <si>
    <t>978-264-2770</t>
  </si>
  <si>
    <t>321-929-9439</t>
  </si>
  <si>
    <t>QUANG TRAN</t>
  </si>
  <si>
    <t>766-315-3436</t>
  </si>
  <si>
    <t>982-845-7416</t>
  </si>
  <si>
    <t>166-561-2962</t>
  </si>
  <si>
    <t>726-298-4027</t>
  </si>
  <si>
    <t>TAM MINH LE</t>
  </si>
  <si>
    <t>880-257-2077</t>
  </si>
  <si>
    <t>KHANH DOAN VU TUNG</t>
  </si>
  <si>
    <t>885-138-2491</t>
  </si>
  <si>
    <t>LE CONG TUOC</t>
  </si>
  <si>
    <t>212-895-1151</t>
  </si>
  <si>
    <t>793-673-5788</t>
  </si>
  <si>
    <t>111-527-8434</t>
  </si>
  <si>
    <t>DIEU NGOC NGUYEN</t>
  </si>
  <si>
    <t>322-182-8477</t>
  </si>
  <si>
    <t>TRAN NGO THUY HOANG</t>
  </si>
  <si>
    <t>719-042-5986</t>
  </si>
  <si>
    <t>769-646-9413</t>
  </si>
  <si>
    <t>LONG VAN NGUYEN</t>
  </si>
  <si>
    <t>894-246-9410</t>
  </si>
  <si>
    <t>587-960-4001</t>
  </si>
  <si>
    <t>PHAM THUY VAN</t>
  </si>
  <si>
    <t>671-666-8962</t>
  </si>
  <si>
    <t>VO BONG SON</t>
  </si>
  <si>
    <t>339-150-6278</t>
  </si>
  <si>
    <t>VU THAI NGOC HUY</t>
  </si>
  <si>
    <t>907-117-4031</t>
  </si>
  <si>
    <t>HUYNH HAI THUY</t>
  </si>
  <si>
    <t>844-879-8966</t>
  </si>
  <si>
    <t>TOM HUYNH</t>
  </si>
  <si>
    <t>591-979-9791</t>
  </si>
  <si>
    <t>659-977-1861</t>
  </si>
  <si>
    <t>NAWA HIDEKI</t>
  </si>
  <si>
    <t>869-146-8300</t>
  </si>
  <si>
    <t>PHAN VAN NGOC</t>
  </si>
  <si>
    <t>808-739-8565</t>
  </si>
  <si>
    <t>866-710-6753</t>
  </si>
  <si>
    <t>VAN LIAN THANG</t>
  </si>
  <si>
    <t>059-967-2430</t>
  </si>
  <si>
    <t>592-433-6623</t>
  </si>
  <si>
    <t>730-896-4049</t>
  </si>
  <si>
    <t>817-960-4909</t>
  </si>
  <si>
    <t>NGUYEN THE GIANG</t>
  </si>
  <si>
    <t>158-195-4912</t>
  </si>
  <si>
    <t>TUYET DU NGO</t>
  </si>
  <si>
    <t>416-266-9207</t>
  </si>
  <si>
    <t>THIEN HUONG NGUYEN THI</t>
  </si>
  <si>
    <t>350-564-9711</t>
  </si>
  <si>
    <t>TRONG TRAN QUOC</t>
  </si>
  <si>
    <t>537-728-8840</t>
  </si>
  <si>
    <t>CHANTHORN SOUN</t>
  </si>
  <si>
    <t>953-081-5202</t>
  </si>
  <si>
    <t>UT VAN PHAN</t>
  </si>
  <si>
    <t>247-927-8841</t>
  </si>
  <si>
    <t>VAN TAN DOAN</t>
  </si>
  <si>
    <t>791-152-3410</t>
  </si>
  <si>
    <t>PHAM MINH MAN</t>
  </si>
  <si>
    <t>445-248-7716</t>
  </si>
  <si>
    <t>HAI NGUYEN THI THU</t>
  </si>
  <si>
    <t>964-137-2902</t>
  </si>
  <si>
    <t>663-774-8219</t>
  </si>
  <si>
    <t>NGOC THUAN CHAU</t>
  </si>
  <si>
    <t>528-508-3386</t>
  </si>
  <si>
    <t>TRANG THI THU NGUYEN</t>
  </si>
  <si>
    <t>807-352-7023</t>
  </si>
  <si>
    <t>NGUYEN THI LANH</t>
  </si>
  <si>
    <t>498-915-9940</t>
  </si>
  <si>
    <t>THU NGUYET TRAN</t>
  </si>
  <si>
    <t>805-628-8876</t>
  </si>
  <si>
    <t>807-269-6276</t>
  </si>
  <si>
    <t>CU VAN TU</t>
  </si>
  <si>
    <t>941-501-3069</t>
  </si>
  <si>
    <t>CHI LE TRAN</t>
  </si>
  <si>
    <t>034-333-2498</t>
  </si>
  <si>
    <t>ELI WALLACE BERNHOLZ</t>
  </si>
  <si>
    <t>193-684-2524</t>
  </si>
  <si>
    <t>997-946-0212</t>
  </si>
  <si>
    <t>TRUC THU NGUYEN HONG</t>
  </si>
  <si>
    <t>980-189-8042</t>
  </si>
  <si>
    <t>PHAM VO DIEM THUONG</t>
  </si>
  <si>
    <t>249-080-2745</t>
  </si>
  <si>
    <t>CHAU BAO NGU</t>
  </si>
  <si>
    <t>098-894-3900</t>
  </si>
  <si>
    <t>592-436-5691</t>
  </si>
  <si>
    <t>415-686-7741</t>
  </si>
  <si>
    <t>HUA DINH QUE</t>
  </si>
  <si>
    <t>420-862-7449</t>
  </si>
  <si>
    <t>LE THI PHUONG THAO</t>
  </si>
  <si>
    <t>796-582-0047</t>
  </si>
  <si>
    <t>855-396-0671</t>
  </si>
  <si>
    <t>541-289-6824</t>
  </si>
  <si>
    <t>PHUONG TRAM DINH</t>
  </si>
  <si>
    <t>754-110-8132</t>
  </si>
  <si>
    <t>TRUC UYEN HOANG THI</t>
  </si>
  <si>
    <t>763-880-1029</t>
  </si>
  <si>
    <t>480-232-8647</t>
  </si>
  <si>
    <t>TUAN HANG PHAN</t>
  </si>
  <si>
    <t>727-700-4958</t>
  </si>
  <si>
    <t>PHAM DUY ANH</t>
  </si>
  <si>
    <t>141-690-1961</t>
  </si>
  <si>
    <t>THI DIEM THUY NGUYEN</t>
  </si>
  <si>
    <t>707-555-3351</t>
  </si>
  <si>
    <t>308-701-5958</t>
  </si>
  <si>
    <t>608-157-2424</t>
  </si>
  <si>
    <t>215-754-2912</t>
  </si>
  <si>
    <t>MAI THI PHAM</t>
  </si>
  <si>
    <t>557-141-0468</t>
  </si>
  <si>
    <t>LE THANH TUNG</t>
  </si>
  <si>
    <t>509-512-7359</t>
  </si>
  <si>
    <t>BENJAMIN EWEN MACGUFFIE</t>
  </si>
  <si>
    <t>171-093-0648</t>
  </si>
  <si>
    <t>THOMAS MANCINI-BREWSTER</t>
  </si>
  <si>
    <t>082-610-2619</t>
  </si>
  <si>
    <t>KYUN KIM</t>
  </si>
  <si>
    <t>670-755-2089</t>
  </si>
  <si>
    <t>LOC HUU TRAN</t>
  </si>
  <si>
    <t>569-635-7058</t>
  </si>
  <si>
    <t>LE THI DIEU TAM</t>
  </si>
  <si>
    <t>129-968-9948</t>
  </si>
  <si>
    <t>HANH VU NGUYEN</t>
  </si>
  <si>
    <t>505-919-5269</t>
  </si>
  <si>
    <t>VO THI BACH TUYET</t>
  </si>
  <si>
    <t>619-641-3561</t>
  </si>
  <si>
    <t>480-832-7542</t>
  </si>
  <si>
    <t>THANH TRAM NGUYEN</t>
  </si>
  <si>
    <t>321-455-8356</t>
  </si>
  <si>
    <t>TRAM THANH NGUYEN</t>
  </si>
  <si>
    <t>616-726-3925</t>
  </si>
  <si>
    <t>NGUYEN THANH TRAM</t>
  </si>
  <si>
    <t>120-872-8016</t>
  </si>
  <si>
    <t>LUC TRI NGUYEN</t>
  </si>
  <si>
    <t>340-902-4356</t>
  </si>
  <si>
    <t>MICHAEL RALLOS SEPTIMO</t>
  </si>
  <si>
    <t>331-954-5316</t>
  </si>
  <si>
    <t>LANH CONG AO</t>
  </si>
  <si>
    <t>460-748-7519</t>
  </si>
  <si>
    <t>OLLE PERSSON</t>
  </si>
  <si>
    <t>879-329-9112</t>
  </si>
  <si>
    <t>NGOC KHANH VI NGUYEN</t>
  </si>
  <si>
    <t>022-215-3408</t>
  </si>
  <si>
    <t>THANH HOANG LE</t>
  </si>
  <si>
    <t>785-938-7291</t>
  </si>
  <si>
    <t>LAM HOANG NGUYEN</t>
  </si>
  <si>
    <t>156-173-7791</t>
  </si>
  <si>
    <t>JESSICA DAVIES</t>
  </si>
  <si>
    <t>395-491-3867</t>
  </si>
  <si>
    <t>DOAN NGUYEN MANH CUONG</t>
  </si>
  <si>
    <t>362-265-4173</t>
  </si>
  <si>
    <t>NGUYEN THI KIM YEN</t>
  </si>
  <si>
    <t>440-400-8897</t>
  </si>
  <si>
    <t>MY HUE NGUYEN</t>
  </si>
  <si>
    <t>130-737-9241</t>
  </si>
  <si>
    <t>839-782-9545</t>
  </si>
  <si>
    <t>WILLIAM DAVID WYATT</t>
  </si>
  <si>
    <t>052-368-4709</t>
  </si>
  <si>
    <t>ANGEL PHAM</t>
  </si>
  <si>
    <t>914-161-7790</t>
  </si>
  <si>
    <t>657-473-3494</t>
  </si>
  <si>
    <t>NGUYEN KHAI TRINH</t>
  </si>
  <si>
    <t>634-172-1795</t>
  </si>
  <si>
    <t>MATTHEW RAYMOND CARNES</t>
  </si>
  <si>
    <t>953-086-7187</t>
  </si>
  <si>
    <t>THI KIM NGHIA PHAN</t>
  </si>
  <si>
    <t>525-137-2738</t>
  </si>
  <si>
    <t>NHU QUYNH VO</t>
  </si>
  <si>
    <t>692-561-3898</t>
  </si>
  <si>
    <t>THI KIM PHUONG TRAN</t>
  </si>
  <si>
    <t>694-841-4406</t>
  </si>
  <si>
    <t>AUGUSTO ALVAREZ</t>
  </si>
  <si>
    <t>485-175-6610</t>
  </si>
  <si>
    <t>TRISTEN WONG ZHEN YI</t>
  </si>
  <si>
    <t>190-893-2479</t>
  </si>
  <si>
    <t>TRAN SONG DOAN NGHI</t>
  </si>
  <si>
    <t>394-901-9772</t>
  </si>
  <si>
    <t>LA THI MY TRINH</t>
  </si>
  <si>
    <t>435-025-5183</t>
  </si>
  <si>
    <t>972-966-4343</t>
  </si>
  <si>
    <t>THAI HONG HOANG</t>
  </si>
  <si>
    <t>060-695-4578</t>
  </si>
  <si>
    <t>159-489-8173</t>
  </si>
  <si>
    <t>MUOI XI VUONG</t>
  </si>
  <si>
    <t>158-924-1505</t>
  </si>
  <si>
    <t>HAU THI NGUYEN</t>
  </si>
  <si>
    <t>224-325-0016</t>
  </si>
  <si>
    <t>MAI THU MINH</t>
  </si>
  <si>
    <t>048-345-0959</t>
  </si>
  <si>
    <t>216-901-2961</t>
  </si>
  <si>
    <t>032-885-6927</t>
  </si>
  <si>
    <t>SUONG BUI THI TUYET</t>
  </si>
  <si>
    <t>142-817-7329</t>
  </si>
  <si>
    <t>THI HUYEN TRAN DUONG</t>
  </si>
  <si>
    <t>810-812-0321</t>
  </si>
  <si>
    <t>DUONG THI HUYEN TRAN</t>
  </si>
  <si>
    <t>673-087-8251</t>
  </si>
  <si>
    <t>THUY THI TRUONG</t>
  </si>
  <si>
    <t>198-862-5853</t>
  </si>
  <si>
    <t>JAN DOMINIK BRUNNENKANT</t>
  </si>
  <si>
    <t>036-414-6781</t>
  </si>
  <si>
    <t>LE DANG TRUONG</t>
  </si>
  <si>
    <t>042-404-0898</t>
  </si>
  <si>
    <t>938-130-0284</t>
  </si>
  <si>
    <t>764-392-7212</t>
  </si>
  <si>
    <t>THANH TRUNG NGUYEN</t>
  </si>
  <si>
    <t>391-172-9926</t>
  </si>
  <si>
    <t>852-894-4074</t>
  </si>
  <si>
    <t>769-951-7899</t>
  </si>
  <si>
    <t>HOANG MINH NGUYEN</t>
  </si>
  <si>
    <t>661-514-3574</t>
  </si>
  <si>
    <t>XUAN THI NGUYEN THI</t>
  </si>
  <si>
    <t>730-891-9205</t>
  </si>
  <si>
    <t>THANH NGAN NGUYEN</t>
  </si>
  <si>
    <t>870-459-3684</t>
  </si>
  <si>
    <t>KIM OANH LE THI</t>
  </si>
  <si>
    <t>870-885-8238</t>
  </si>
  <si>
    <t>HUNG THINH VO</t>
  </si>
  <si>
    <t>795-142-7691</t>
  </si>
  <si>
    <t>TRUONG DANG LE</t>
  </si>
  <si>
    <t>515-911-9607</t>
  </si>
  <si>
    <t>231-393-1787</t>
  </si>
  <si>
    <t>SON HONG PHAM</t>
  </si>
  <si>
    <t>166-592-4941</t>
  </si>
  <si>
    <t>KOBY TRUONG NGUYEN</t>
  </si>
  <si>
    <t>179-979-1404</t>
  </si>
  <si>
    <t>NGUYEN NGOC TRUONG NGHIEM</t>
  </si>
  <si>
    <t>224-914-4613</t>
  </si>
  <si>
    <t>163-460-7169</t>
  </si>
  <si>
    <t>DMITRY DOUBOGRAEV</t>
  </si>
  <si>
    <t>686-897-0786</t>
  </si>
  <si>
    <t>GIANG QUY MY</t>
  </si>
  <si>
    <t>871-894-6292</t>
  </si>
  <si>
    <t>CAM HUONG PHAM THI</t>
  </si>
  <si>
    <t>959-989-9323</t>
  </si>
  <si>
    <t>LE THI KIM TUYEN</t>
  </si>
  <si>
    <t>623-564-4771</t>
  </si>
  <si>
    <t>PHAN THI DIEM LE</t>
  </si>
  <si>
    <t>800-735-6361</t>
  </si>
  <si>
    <t>NGUYEN THI THOANG</t>
  </si>
  <si>
    <t>094-155-6456</t>
  </si>
  <si>
    <t>LE SONG TUNG</t>
  </si>
  <si>
    <t>345-769-9094</t>
  </si>
  <si>
    <t>TRANG HOANG NGUYEN MINH</t>
  </si>
  <si>
    <t>226-144-5356</t>
  </si>
  <si>
    <t>HUYNH THI BICH TRAM</t>
  </si>
  <si>
    <t>534-497-1873</t>
  </si>
  <si>
    <t>233-964-0668</t>
  </si>
  <si>
    <t>LAM HOANG DUONG</t>
  </si>
  <si>
    <t>180-033-5447</t>
  </si>
  <si>
    <t>LY THI THANH</t>
  </si>
  <si>
    <t>520-533-2426</t>
  </si>
  <si>
    <t>759-940-9200</t>
  </si>
  <si>
    <t>593-791-4575</t>
  </si>
  <si>
    <t>TRINH HOANG PHUONG</t>
  </si>
  <si>
    <t>223-225-0758</t>
  </si>
  <si>
    <t>261-686-9181</t>
  </si>
  <si>
    <t>HIEP MINH NGUYEN</t>
  </si>
  <si>
    <t>799-069-1719</t>
  </si>
  <si>
    <t>NGUYEN THI LUA</t>
  </si>
  <si>
    <t>148-443-4047</t>
  </si>
  <si>
    <t>PIERRE HERVE JEAN BLANES</t>
  </si>
  <si>
    <t>795-961-4818</t>
  </si>
  <si>
    <t>DIEM THUY LE THI</t>
  </si>
  <si>
    <t>749-567-6762</t>
  </si>
  <si>
    <t>850-282-7900</t>
  </si>
  <si>
    <t>PHAT TAN NGUYEN</t>
  </si>
  <si>
    <t>629-376-6008</t>
  </si>
  <si>
    <t>477-740-3680</t>
  </si>
  <si>
    <t>THI MY DAN NGUYEN</t>
  </si>
  <si>
    <t>463-272-8827</t>
  </si>
  <si>
    <t>HUNG TRONG LE</t>
  </si>
  <si>
    <t>967-804-1881</t>
  </si>
  <si>
    <t>213-943-8771</t>
  </si>
  <si>
    <t>419-427-6435</t>
  </si>
  <si>
    <t>172-555-2215</t>
  </si>
  <si>
    <t>625-115-7376</t>
  </si>
  <si>
    <t>KIM CHI NGUYEN THI</t>
  </si>
  <si>
    <t>325-958-3816</t>
  </si>
  <si>
    <t>NGOC TRAM NGUYEN THI</t>
  </si>
  <si>
    <t>943-433-9676</t>
  </si>
  <si>
    <t>TAM THI HO</t>
  </si>
  <si>
    <t>739-046-9885</t>
  </si>
  <si>
    <t>515-920-6085</t>
  </si>
  <si>
    <t>847-454-8135</t>
  </si>
  <si>
    <t>NGUYEN THI HONG VAN</t>
  </si>
  <si>
    <t>702-733-4976</t>
  </si>
  <si>
    <t>MINH LUONG</t>
  </si>
  <si>
    <t>641-469-1071</t>
  </si>
  <si>
    <t>NGUYEN HOANG AI MY</t>
  </si>
  <si>
    <t>047-799-6030</t>
  </si>
  <si>
    <t>LE THI TUYET VAN</t>
  </si>
  <si>
    <t>666-181-2655</t>
  </si>
  <si>
    <t>BUI TUONG VAN</t>
  </si>
  <si>
    <t>580-903-5062</t>
  </si>
  <si>
    <t>963-956-0532</t>
  </si>
  <si>
    <t>MAI THI QUYNH DAO</t>
  </si>
  <si>
    <t>002-880-4374</t>
  </si>
  <si>
    <t>THUY THI TRAN</t>
  </si>
  <si>
    <t>877-634-9816</t>
  </si>
  <si>
    <t>556-868-2961</t>
  </si>
  <si>
    <t>TIEN TON NU HANH</t>
  </si>
  <si>
    <t>599-642-7402</t>
  </si>
  <si>
    <t>360-079-1772</t>
  </si>
  <si>
    <t>NGUYEN PHUOC DUY</t>
  </si>
  <si>
    <t>051-884-4671</t>
  </si>
  <si>
    <t>THU TRUONG HONG ANH</t>
  </si>
  <si>
    <t>096-419-9224</t>
  </si>
  <si>
    <t>VIET HOANG</t>
  </si>
  <si>
    <t>963-233-2011</t>
  </si>
  <si>
    <t>WILLIAM PAUL MERZ II</t>
  </si>
  <si>
    <t>620-561-3824</t>
  </si>
  <si>
    <t>432-909-1401</t>
  </si>
  <si>
    <t>611-335-5818</t>
  </si>
  <si>
    <t>TRA MY NGUYEN THI</t>
  </si>
  <si>
    <t>244-289-8731</t>
  </si>
  <si>
    <t>PHILLIP ALEXANDER MCKENZIE</t>
  </si>
  <si>
    <t>917-740-6238</t>
  </si>
  <si>
    <t>298-126-5304</t>
  </si>
  <si>
    <t>DANIEL STEWART BREMNER</t>
  </si>
  <si>
    <t>988-285-2568</t>
  </si>
  <si>
    <t>KHANH NHI PHAM</t>
  </si>
  <si>
    <t>407-725-8288</t>
  </si>
  <si>
    <t>YEN TIEN NGUYEN</t>
  </si>
  <si>
    <t>256-928-0528</t>
  </si>
  <si>
    <t>778-878-0468</t>
  </si>
  <si>
    <t>JAY EMMANUEL MARINAS PONCE</t>
  </si>
  <si>
    <t>112-627-1606</t>
  </si>
  <si>
    <t>KHI XAI QUACH</t>
  </si>
  <si>
    <t>732-124-8887</t>
  </si>
  <si>
    <t>097-655-9045</t>
  </si>
  <si>
    <t>302-756-4472</t>
  </si>
  <si>
    <t>069-762-8099</t>
  </si>
  <si>
    <t>127-690-2364</t>
  </si>
  <si>
    <t>TRUNG QUANG BUI</t>
  </si>
  <si>
    <t>204-322-9290</t>
  </si>
  <si>
    <t>THI SA RENH DO</t>
  </si>
  <si>
    <t>291-770-6354</t>
  </si>
  <si>
    <t>NGUYEN THI KIM PHUNG</t>
  </si>
  <si>
    <t>043-372-4262</t>
  </si>
  <si>
    <t>LE PHUONG THAO</t>
  </si>
  <si>
    <t>576-766-0924</t>
  </si>
  <si>
    <t>GAM THI HONG LE</t>
  </si>
  <si>
    <t>554-739-8812</t>
  </si>
  <si>
    <t>977-338-6297</t>
  </si>
  <si>
    <t>THANG CONG NGUYEN</t>
  </si>
  <si>
    <t>069-797-1894</t>
  </si>
  <si>
    <t>HUNG HOANG NGUYEN</t>
  </si>
  <si>
    <t>637-634-2107</t>
  </si>
  <si>
    <t>246-864-4773</t>
  </si>
  <si>
    <t>XUAN THANH TRAN</t>
  </si>
  <si>
    <t>603-266-1653</t>
  </si>
  <si>
    <t>314-883-0792</t>
  </si>
  <si>
    <t>LOTTE RUTH MARTIN</t>
  </si>
  <si>
    <t>599-390-8971</t>
  </si>
  <si>
    <t>VO ANH DIEM KIEU</t>
  </si>
  <si>
    <t>509-578-6818</t>
  </si>
  <si>
    <t>GYUSIK KANG</t>
  </si>
  <si>
    <t>327-046-2057</t>
  </si>
  <si>
    <t>LINH LE THI MY</t>
  </si>
  <si>
    <t>498-924-4291</t>
  </si>
  <si>
    <t>274-591-1374</t>
  </si>
  <si>
    <t>GIRGIS BOTROS KAMEL GHALY</t>
  </si>
  <si>
    <t>584-797-4388</t>
  </si>
  <si>
    <t>085-222-8922</t>
  </si>
  <si>
    <t>678-326-9715</t>
  </si>
  <si>
    <t>GAJENDRARAJAH BALACHANDRAN</t>
  </si>
  <si>
    <t>594-062-9367</t>
  </si>
  <si>
    <t>DANG HAI LE</t>
  </si>
  <si>
    <t>749-975-2547</t>
  </si>
  <si>
    <t>250-435-2629</t>
  </si>
  <si>
    <t>DO BA THINH</t>
  </si>
  <si>
    <t>080-868-5262</t>
  </si>
  <si>
    <t>MOSES KPAYEH BAHZEATY</t>
  </si>
  <si>
    <t>078-874-9237</t>
  </si>
  <si>
    <t>LONG MONG NGUYEN</t>
  </si>
  <si>
    <t>293-592-7196</t>
  </si>
  <si>
    <t>HASSAIN SENAYNAT</t>
  </si>
  <si>
    <t>025-637-6124</t>
  </si>
  <si>
    <t>GEVORG BAYATYAN</t>
  </si>
  <si>
    <t>258-514-7121</t>
  </si>
  <si>
    <t>PHUONG MY TRAN</t>
  </si>
  <si>
    <t>409-731-7266</t>
  </si>
  <si>
    <t>NGUYEN MINH ANH</t>
  </si>
  <si>
    <t>232-840-7091</t>
  </si>
  <si>
    <t>KYAW ZIN OO</t>
  </si>
  <si>
    <t>723-337-1438</t>
  </si>
  <si>
    <t>VO NGOC THUY TRANG</t>
  </si>
  <si>
    <t>417-684-4541</t>
  </si>
  <si>
    <t>NGUYEN TUNG XINH</t>
  </si>
  <si>
    <t>134-579-4408</t>
  </si>
  <si>
    <t>673-652-8759</t>
  </si>
  <si>
    <t>LEO GEORGES RUDY FOLDVARI</t>
  </si>
  <si>
    <t>426-412-8714</t>
  </si>
  <si>
    <t>ANH PHUONG NGUYEN VU</t>
  </si>
  <si>
    <t>481-189-0993</t>
  </si>
  <si>
    <t>NGUYEN THI MY HANH</t>
  </si>
  <si>
    <t>164-372-6215</t>
  </si>
  <si>
    <t>HANH PHAN THI CAM</t>
  </si>
  <si>
    <t>262-941-6350</t>
  </si>
  <si>
    <t>NGUYEN HOANG THI MY LINH</t>
  </si>
  <si>
    <t>151-103-4304</t>
  </si>
  <si>
    <t>071-605-6639</t>
  </si>
  <si>
    <t>TETTA OYAMA</t>
  </si>
  <si>
    <t>016-530-4733</t>
  </si>
  <si>
    <t>PHUONG TRAM LE NGUYEN</t>
  </si>
  <si>
    <t>394-927-1526</t>
  </si>
  <si>
    <t>513-315-2886</t>
  </si>
  <si>
    <t>JOHN MICHAEL WILSON</t>
  </si>
  <si>
    <t>363-365-0838</t>
  </si>
  <si>
    <t>TRUONG THANH NGUYEN</t>
  </si>
  <si>
    <t>104-892-9224</t>
  </si>
  <si>
    <t>TRAN ANH KHOA</t>
  </si>
  <si>
    <t>558-691-8561</t>
  </si>
  <si>
    <t>SON BONG VO</t>
  </si>
  <si>
    <t>804-518-4311</t>
  </si>
  <si>
    <t>478-207-4749</t>
  </si>
  <si>
    <t>PETER NGUYEN</t>
  </si>
  <si>
    <t>998-756-8533</t>
  </si>
  <si>
    <t>HAI THI LE</t>
  </si>
  <si>
    <t>069-097-9304</t>
  </si>
  <si>
    <t>SHINAS KHAN</t>
  </si>
  <si>
    <t>197-610-8952</t>
  </si>
  <si>
    <t>RUPINDER JIT SINGH</t>
  </si>
  <si>
    <t>148-586-0710</t>
  </si>
  <si>
    <t>PHO NHO THI NGO</t>
  </si>
  <si>
    <t>149-893-4852</t>
  </si>
  <si>
    <t>MY DUNG PHAM THI</t>
  </si>
  <si>
    <t>563-958-6190</t>
  </si>
  <si>
    <t>LE THI KIM NGOC</t>
  </si>
  <si>
    <t>667-157-6081</t>
  </si>
  <si>
    <t>NGUYEN THI HUYEN TRAN</t>
  </si>
  <si>
    <t>863-292-2170</t>
  </si>
  <si>
    <t>PHAM THI DIEN</t>
  </si>
  <si>
    <t>956-589-3078</t>
  </si>
  <si>
    <t>163-124-3836</t>
  </si>
  <si>
    <t>VAN ANH NGUYEN THI</t>
  </si>
  <si>
    <t>401-508-0728</t>
  </si>
  <si>
    <t>SHOU CHENG HSU</t>
  </si>
  <si>
    <t>383-509-6870</t>
  </si>
  <si>
    <t>XUAN NGUYEN NGOC MINH</t>
  </si>
  <si>
    <t>343-228-7608</t>
  </si>
  <si>
    <t>PREMKUMAR RAJANDRAN</t>
  </si>
  <si>
    <t>905-122-0791</t>
  </si>
  <si>
    <t>256-636-8470</t>
  </si>
  <si>
    <t>PHUONG THUY LE</t>
  </si>
  <si>
    <t>077-150-3014</t>
  </si>
  <si>
    <t>HUY QUOC VUONG</t>
  </si>
  <si>
    <t>816-925-3697</t>
  </si>
  <si>
    <t>399-674-8474</t>
  </si>
  <si>
    <t>LUIS ALBERTO POLANCO RAMOS</t>
  </si>
  <si>
    <t>938-134-8381</t>
  </si>
  <si>
    <t>NGUYEN THI HOAI LINH</t>
  </si>
  <si>
    <t>183-040-3601</t>
  </si>
  <si>
    <t>DINH TOAN NGUYEN</t>
  </si>
  <si>
    <t>359-294-1347</t>
  </si>
  <si>
    <t>ERIC MICHEL GUY RENAUD</t>
  </si>
  <si>
    <t>862-911-0541</t>
  </si>
  <si>
    <t>990-428-8663</t>
  </si>
  <si>
    <t>LIAM EDWARD CROOME</t>
  </si>
  <si>
    <t>516-688-2481</t>
  </si>
  <si>
    <t>JAMES EDWARD CORMACAN</t>
  </si>
  <si>
    <t>009-382-3950</t>
  </si>
  <si>
    <t>563-954-2034</t>
  </si>
  <si>
    <t>WILLIAM FRANCIS HORSFALL</t>
  </si>
  <si>
    <t>032-898-6406</t>
  </si>
  <si>
    <t>ALMAJADIAH MAJED FAHED</t>
  </si>
  <si>
    <t>984-756-1044</t>
  </si>
  <si>
    <t>JIM OTIS JAKTLUND</t>
  </si>
  <si>
    <t>825-120-4034</t>
  </si>
  <si>
    <t>456-124-2168</t>
  </si>
  <si>
    <t>650-614-0019</t>
  </si>
  <si>
    <t>TRINH NGOC NGUYEN</t>
  </si>
  <si>
    <t>467-162-3217</t>
  </si>
  <si>
    <t>THI THU HIEN LE</t>
  </si>
  <si>
    <t>913-532-8145</t>
  </si>
  <si>
    <t>566-557-0851</t>
  </si>
  <si>
    <t>THUY NGUYEN THI NGOC</t>
  </si>
  <si>
    <t>693-179-6449</t>
  </si>
  <si>
    <t>495-622-4389</t>
  </si>
  <si>
    <t>THI MINH TUYEN NGUYEN</t>
  </si>
  <si>
    <t>631-338-2117</t>
  </si>
  <si>
    <t>025-946-4411</t>
  </si>
  <si>
    <t>LE THI THANH XUAN</t>
  </si>
  <si>
    <t>142-301-1921</t>
  </si>
  <si>
    <t>273-570-9488</t>
  </si>
  <si>
    <t>839-609-1756</t>
  </si>
  <si>
    <t>THY LE NGUYEN</t>
  </si>
  <si>
    <t>326-589-0703</t>
  </si>
  <si>
    <t>VAN VINH PHAN</t>
  </si>
  <si>
    <t>304-884-0371</t>
  </si>
  <si>
    <t>LE HOANG SON</t>
  </si>
  <si>
    <t>446-482-7911</t>
  </si>
  <si>
    <t>924-757-1128</t>
  </si>
  <si>
    <t>NGUYEN NGOC MY</t>
  </si>
  <si>
    <t>618-924-0891</t>
  </si>
  <si>
    <t>JIWON LEE</t>
  </si>
  <si>
    <t>939-814-8361</t>
  </si>
  <si>
    <t>816-754-9861</t>
  </si>
  <si>
    <t>TUAN ANH PHAM</t>
  </si>
  <si>
    <t>084-946-3898</t>
  </si>
  <si>
    <t>DIEN CHAU SI</t>
  </si>
  <si>
    <t>912-957-1689</t>
  </si>
  <si>
    <t>STEVEN EDWARD HOBBS</t>
  </si>
  <si>
    <t>995-472-3906</t>
  </si>
  <si>
    <t>NHUT MINH VO</t>
  </si>
  <si>
    <t>206-496-6007</t>
  </si>
  <si>
    <t>AU DUONG NGUYEN</t>
  </si>
  <si>
    <t>596-202-9795</t>
  </si>
  <si>
    <t>610-659-3897</t>
  </si>
  <si>
    <t>388-162-0063</t>
  </si>
  <si>
    <t>VELLIAN THANABALAN</t>
  </si>
  <si>
    <t>127-990-2431</t>
  </si>
  <si>
    <t>ANGELICA MARIE CAMPOS</t>
  </si>
  <si>
    <t>929-606-3165</t>
  </si>
  <si>
    <t>THANH HUY NGUYEN</t>
  </si>
  <si>
    <t>941-170-1115</t>
  </si>
  <si>
    <t>194-902-4951</t>
  </si>
  <si>
    <t>DUC THIEN Y NGUYEN</t>
  </si>
  <si>
    <t>156-680-3777</t>
  </si>
  <si>
    <t>HOAI LY PHAN THI</t>
  </si>
  <si>
    <t>993-186-8847</t>
  </si>
  <si>
    <t>628-341-6941</t>
  </si>
  <si>
    <t>949-176-6107</t>
  </si>
  <si>
    <t>622-887-9211</t>
  </si>
  <si>
    <t>TRIEU NGUYEN THI NHUT</t>
  </si>
  <si>
    <t>348-228-4775</t>
  </si>
  <si>
    <t>984-283-6471</t>
  </si>
  <si>
    <t>THI PHUONG UYEN LAM</t>
  </si>
  <si>
    <t>723-266-5779</t>
  </si>
  <si>
    <t>550-941-2299</t>
  </si>
  <si>
    <t>379-283-3336</t>
  </si>
  <si>
    <t>466-070-1902</t>
  </si>
  <si>
    <t>LE THI HANH</t>
  </si>
  <si>
    <t>997-215-4791</t>
  </si>
  <si>
    <t>020-539-5905</t>
  </si>
  <si>
    <t>811-818-9483</t>
  </si>
  <si>
    <t>552-530-4770</t>
  </si>
  <si>
    <t>DO MINH QUAN</t>
  </si>
  <si>
    <t>554-303-3041</t>
  </si>
  <si>
    <t>859-339-7141</t>
  </si>
  <si>
    <t>HEDAYA PADATE BALINDONG</t>
  </si>
  <si>
    <t>994-079-2479</t>
  </si>
  <si>
    <t>119-169-0555</t>
  </si>
  <si>
    <t>416-734-8919</t>
  </si>
  <si>
    <t>UYEN HOANG LE</t>
  </si>
  <si>
    <t>256-040-4884</t>
  </si>
  <si>
    <t>HUONG THI NGUYEN</t>
  </si>
  <si>
    <t>998-902-5126</t>
  </si>
  <si>
    <t>035-564-9428</t>
  </si>
  <si>
    <t>LOAN PHAN THI MY</t>
  </si>
  <si>
    <t>260-574-3139</t>
  </si>
  <si>
    <t>HUNG QUOC GIANG</t>
  </si>
  <si>
    <t>016-287-8463</t>
  </si>
  <si>
    <t>TRIEU QUANG LE</t>
  </si>
  <si>
    <t>929-318-7251</t>
  </si>
  <si>
    <t>DINH THI LUAN</t>
  </si>
  <si>
    <t>714-732-9760</t>
  </si>
  <si>
    <t>560-090-9041</t>
  </si>
  <si>
    <t>PHAN NGOC CAT VY</t>
  </si>
  <si>
    <t>746-102-5971</t>
  </si>
  <si>
    <t>MASON BAILEE SIMPSON</t>
  </si>
  <si>
    <t>320-921-0146</t>
  </si>
  <si>
    <t>NGUYEN THI LAM TUYEN</t>
  </si>
  <si>
    <t>956-590-7240</t>
  </si>
  <si>
    <t>THAO VY THI DANG</t>
  </si>
  <si>
    <t>401-082-1023</t>
  </si>
  <si>
    <t>BUI HOANG KHA</t>
  </si>
  <si>
    <t>956-945-1248</t>
  </si>
  <si>
    <t>151-420-3698</t>
  </si>
  <si>
    <t>HOA LUONG</t>
  </si>
  <si>
    <t>911-815-6768</t>
  </si>
  <si>
    <t>047-475-4962</t>
  </si>
  <si>
    <t>LAN QUY VAN</t>
  </si>
  <si>
    <t>327-416-1247</t>
  </si>
  <si>
    <t>202-913-3577</t>
  </si>
  <si>
    <t>KIM THAO TRAN THI</t>
  </si>
  <si>
    <t>880-650-2799</t>
  </si>
  <si>
    <t>QUANG DAI LAM</t>
  </si>
  <si>
    <t>802-518-2221</t>
  </si>
  <si>
    <t>THI KIM LOAN NGUYEN</t>
  </si>
  <si>
    <t>211-410-6797</t>
  </si>
  <si>
    <t>NGUYEN KHANH DOAN HIEN</t>
  </si>
  <si>
    <t>733-674-6210</t>
  </si>
  <si>
    <t>292-160-8037</t>
  </si>
  <si>
    <t>494-885-6909</t>
  </si>
  <si>
    <t>NGHI THANH BUI</t>
  </si>
  <si>
    <t>884-361-1980</t>
  </si>
  <si>
    <t>NGUYEN THI KHANH LY</t>
  </si>
  <si>
    <t>864-961-6871</t>
  </si>
  <si>
    <t>902-892-8207</t>
  </si>
  <si>
    <t>MI RYONG YU</t>
  </si>
  <si>
    <t>331-147-1902</t>
  </si>
  <si>
    <t>SUE MIN KO ODIO</t>
  </si>
  <si>
    <t>950-963-6121</t>
  </si>
  <si>
    <t>210-475-8428</t>
  </si>
  <si>
    <t>HUE MAN CAO</t>
  </si>
  <si>
    <t>178-040-7093</t>
  </si>
  <si>
    <t>MICHAEL STEPHEN COFFMAN</t>
  </si>
  <si>
    <t>783-949-7677</t>
  </si>
  <si>
    <t>MR.ALLEN JOHN BURK</t>
  </si>
  <si>
    <t>244-944-6949</t>
  </si>
  <si>
    <t>BINH THANH LAM</t>
  </si>
  <si>
    <t>100-145-9023</t>
  </si>
  <si>
    <t>QUYNH NGUYEN DIEP TRUC</t>
  </si>
  <si>
    <t>084-109-9516</t>
  </si>
  <si>
    <t>TU HANH NGUYEN THI</t>
  </si>
  <si>
    <t>190-252-2741</t>
  </si>
  <si>
    <t>NGUYEN MAI TRONG T</t>
  </si>
  <si>
    <t>147-801-9726</t>
  </si>
  <si>
    <t>TRUONG HUY PHAN</t>
  </si>
  <si>
    <t>419-467-1573</t>
  </si>
  <si>
    <t>KIEU VO HONG</t>
  </si>
  <si>
    <t>599-751-0930</t>
  </si>
  <si>
    <t>SOHIL PATHANIA</t>
  </si>
  <si>
    <t>704-534-5929</t>
  </si>
  <si>
    <t>651-279-3819</t>
  </si>
  <si>
    <t>NGUYEN TO GIAO</t>
  </si>
  <si>
    <t>185-619-9125</t>
  </si>
  <si>
    <t>ANDER CARRION VELASCO</t>
  </si>
  <si>
    <t>638-378-5139</t>
  </si>
  <si>
    <t>386-892-3440</t>
  </si>
  <si>
    <t>NGUYEN BA THO</t>
  </si>
  <si>
    <t>908-146-0756</t>
  </si>
  <si>
    <t>HIEN THU LE</t>
  </si>
  <si>
    <t>086-100-6346</t>
  </si>
  <si>
    <t>LE THI TINH</t>
  </si>
  <si>
    <t>702-030-1219</t>
  </si>
  <si>
    <t>HUYEN DANG THI THANH</t>
  </si>
  <si>
    <t>463-354-9638</t>
  </si>
  <si>
    <t>391-518-6630</t>
  </si>
  <si>
    <t>THUY ANH VU</t>
  </si>
  <si>
    <t>540-225-0290</t>
  </si>
  <si>
    <t>776-734-5701</t>
  </si>
  <si>
    <t>754-631-0519</t>
  </si>
  <si>
    <t>NGUYEN THI LE HUYEN</t>
  </si>
  <si>
    <t>323-104-6817</t>
  </si>
  <si>
    <t>LINH NGUYEN THAO BUI</t>
  </si>
  <si>
    <t>123-819-7651</t>
  </si>
  <si>
    <t>317-833-9651</t>
  </si>
  <si>
    <t>784-950-9025</t>
  </si>
  <si>
    <t>BE THI NGUYEN</t>
  </si>
  <si>
    <t>002-938-2222</t>
  </si>
  <si>
    <t>FARID OUADDA</t>
  </si>
  <si>
    <t>279-701-7461</t>
  </si>
  <si>
    <t>161-292-6881</t>
  </si>
  <si>
    <t>THAO NGOC NGUYEN</t>
  </si>
  <si>
    <t>977-730-4964</t>
  </si>
  <si>
    <t>HUYNH THI MY KIM</t>
  </si>
  <si>
    <t>069-575-8162</t>
  </si>
  <si>
    <t>985-811-1860</t>
  </si>
  <si>
    <t>394-642-8567</t>
  </si>
  <si>
    <t>HAI TRIEU VO</t>
  </si>
  <si>
    <t>559-964-6250</t>
  </si>
  <si>
    <t>034-887-3161</t>
  </si>
  <si>
    <t>893-492-3345</t>
  </si>
  <si>
    <t>NGUYEN THI HONG OANH</t>
  </si>
  <si>
    <t>118-194-6442</t>
  </si>
  <si>
    <t>MIRZA ALI KONAIN AKBAR</t>
  </si>
  <si>
    <t>763-454-0911</t>
  </si>
  <si>
    <t>THIEU THI LAN</t>
  </si>
  <si>
    <t>918-103-1857</t>
  </si>
  <si>
    <t>NHAT SINH NGUYEN</t>
  </si>
  <si>
    <t>931-967-9938</t>
  </si>
  <si>
    <t>ERIK TOBIAS HOLM</t>
  </si>
  <si>
    <t>019-539-0432</t>
  </si>
  <si>
    <t>AARON DALE MILTON</t>
  </si>
  <si>
    <t>528-522-7165</t>
  </si>
  <si>
    <t>ANH QUYNH DO</t>
  </si>
  <si>
    <t>558-879-7893</t>
  </si>
  <si>
    <t>PHAN THI QUYNH NHU</t>
  </si>
  <si>
    <t>118-842-5690</t>
  </si>
  <si>
    <t>950-235-0537</t>
  </si>
  <si>
    <t>NGUYEN THI KIM TUYEN</t>
  </si>
  <si>
    <t>704-032-5969</t>
  </si>
  <si>
    <t>TRAN THI KIM XUAN</t>
  </si>
  <si>
    <t>941-746-4161</t>
  </si>
  <si>
    <t>THUY LINH PHAM</t>
  </si>
  <si>
    <t>049-742-4406</t>
  </si>
  <si>
    <t>THAO VI NGUYEN DANG</t>
  </si>
  <si>
    <t>686-377-0738</t>
  </si>
  <si>
    <t>DEVONTA ONEAL CORBET</t>
  </si>
  <si>
    <t>301-324-9191</t>
  </si>
  <si>
    <t>132-712-7791</t>
  </si>
  <si>
    <t>ELSA MANORA</t>
  </si>
  <si>
    <t>868-578-0731</t>
  </si>
  <si>
    <t>VANESSA ERIKA ASHTON</t>
  </si>
  <si>
    <t>808-152-4070</t>
  </si>
  <si>
    <t>ALLEN JOHN BURKE</t>
  </si>
  <si>
    <t>249-828-2305</t>
  </si>
  <si>
    <t>LOC THI VU</t>
  </si>
  <si>
    <t>814-094-1015</t>
  </si>
  <si>
    <t>LA BINH CUONG</t>
  </si>
  <si>
    <t>144-894-9428</t>
  </si>
  <si>
    <t>136-587-7512</t>
  </si>
  <si>
    <t>LOI THI NGUYEN</t>
  </si>
  <si>
    <t>501-026-1893</t>
  </si>
  <si>
    <t>THI MINH CHAU DONG</t>
  </si>
  <si>
    <t>920-742-8476</t>
  </si>
  <si>
    <t>DUONG THI VINH</t>
  </si>
  <si>
    <t>200-386-8427</t>
  </si>
  <si>
    <t>NGUYEN CONG TAM</t>
  </si>
  <si>
    <t>650-449-4831</t>
  </si>
  <si>
    <t>THAI TUONG NGUYEN THI</t>
  </si>
  <si>
    <t>950-970-7759</t>
  </si>
  <si>
    <t>DANG VAN HUNG</t>
  </si>
  <si>
    <t>186-923-6317</t>
  </si>
  <si>
    <t>TRAN THI NHUNG</t>
  </si>
  <si>
    <t>027-823-0394</t>
  </si>
  <si>
    <t>MOHIT FERNANDES</t>
  </si>
  <si>
    <t>210-730-6156</t>
  </si>
  <si>
    <t>812-742-5900</t>
  </si>
  <si>
    <t>995-591-0081</t>
  </si>
  <si>
    <t>NGA MAI THI NGOC</t>
  </si>
  <si>
    <t>158-624-2263</t>
  </si>
  <si>
    <t>THANH THUY NGUYEN</t>
  </si>
  <si>
    <t>072-702-9304</t>
  </si>
  <si>
    <t>NHI THI LE</t>
  </si>
  <si>
    <t>284-885-1564</t>
  </si>
  <si>
    <t>931-670-4694</t>
  </si>
  <si>
    <t>340-655-6286</t>
  </si>
  <si>
    <t>OANH THI DUONG</t>
  </si>
  <si>
    <t>129-767-0851</t>
  </si>
  <si>
    <t>ALPHONSO HARRIS</t>
  </si>
  <si>
    <t>614-755-9183</t>
  </si>
  <si>
    <t>JOSHUA M HARDING-LEWIS</t>
  </si>
  <si>
    <t>958-631-7760</t>
  </si>
  <si>
    <t>083-977-9533</t>
  </si>
  <si>
    <t>854-915-9079</t>
  </si>
  <si>
    <t>292-901-1101</t>
  </si>
  <si>
    <t>KHAGANI ASKAROV</t>
  </si>
  <si>
    <t>519-816-8996</t>
  </si>
  <si>
    <t>657-962-5149</t>
  </si>
  <si>
    <t>LAM THANH LE</t>
  </si>
  <si>
    <t>996-020-9441</t>
  </si>
  <si>
    <t>754-642-2040</t>
  </si>
  <si>
    <t>164-390-6139</t>
  </si>
  <si>
    <t>NHA VY TRAN</t>
  </si>
  <si>
    <t>408-866-8881</t>
  </si>
  <si>
    <t>660-943-3281</t>
  </si>
  <si>
    <t>901-688-0593</t>
  </si>
  <si>
    <t>947-823-4648</t>
  </si>
  <si>
    <t>RUSSELL ROBERT BRAZA</t>
  </si>
  <si>
    <t>209-567-0126</t>
  </si>
  <si>
    <t>225-027-3407</t>
  </si>
  <si>
    <t>766-570-5885</t>
  </si>
  <si>
    <t>662-581-2228</t>
  </si>
  <si>
    <t>NGA LE DINH PHUONG</t>
  </si>
  <si>
    <t>687-556-4306</t>
  </si>
  <si>
    <t>LE THI MINH NGOC</t>
  </si>
  <si>
    <t>998-342-5998</t>
  </si>
  <si>
    <t>928-230-9929</t>
  </si>
  <si>
    <t>552-051-5288</t>
  </si>
  <si>
    <t>NGUYEN PHUC HAU</t>
  </si>
  <si>
    <t>856-619-0224</t>
  </si>
  <si>
    <t>TRIET MINH NGO</t>
  </si>
  <si>
    <t>027-581-8451</t>
  </si>
  <si>
    <t>HUNG LUAN CHEN</t>
  </si>
  <si>
    <t>516-699-8899</t>
  </si>
  <si>
    <t>ANGUS JAMES</t>
  </si>
  <si>
    <t>351-246-1811</t>
  </si>
  <si>
    <t>LEO TRINH</t>
  </si>
  <si>
    <t>490-420-4852</t>
  </si>
  <si>
    <t>NGOC OANH PHAM</t>
  </si>
  <si>
    <t>664-520-3671</t>
  </si>
  <si>
    <t>JARID WESTOVER</t>
  </si>
  <si>
    <t>712-267-5239</t>
  </si>
  <si>
    <t>LE THI NAM</t>
  </si>
  <si>
    <t>463-365-9638</t>
  </si>
  <si>
    <t>515-973-4168</t>
  </si>
  <si>
    <t>TRAN NGOC GIAU</t>
  </si>
  <si>
    <t>039-536-5004</t>
  </si>
  <si>
    <t>HO BAO TRAM DINH</t>
  </si>
  <si>
    <t>507-555-9301</t>
  </si>
  <si>
    <t>HA KHIET NGHI</t>
  </si>
  <si>
    <t>976-925-2120</t>
  </si>
  <si>
    <t>295-225-0556</t>
  </si>
  <si>
    <t>THI THUY AN NGUYEN</t>
  </si>
  <si>
    <t>659-804-1350</t>
  </si>
  <si>
    <t>278-401-1023</t>
  </si>
  <si>
    <t>THI BINH THANH LUONG</t>
  </si>
  <si>
    <t>320-155-7538</t>
  </si>
  <si>
    <t>024-738-5659</t>
  </si>
  <si>
    <t>253-035-4138</t>
  </si>
  <si>
    <t>SI TUAN TRANG</t>
  </si>
  <si>
    <t>683-427-9075</t>
  </si>
  <si>
    <t>KEVIN LE</t>
  </si>
  <si>
    <t>987-291-6294</t>
  </si>
  <si>
    <t>DAVID GRANATH</t>
  </si>
  <si>
    <t>069-125-5890</t>
  </si>
  <si>
    <t>NHU Y DO THI</t>
  </si>
  <si>
    <t>098-153-9626</t>
  </si>
  <si>
    <t>LUONG THI BICH NGOC</t>
  </si>
  <si>
    <t>696-969-2963</t>
  </si>
  <si>
    <t>858-281-2775</t>
  </si>
  <si>
    <t>ANTHONY WILLIAM CLARKE</t>
  </si>
  <si>
    <t>101-349-1246</t>
  </si>
  <si>
    <t>LE THI TUYET HANG</t>
  </si>
  <si>
    <t>607-957-6354</t>
  </si>
  <si>
    <t>TRAN THI OANH THU</t>
  </si>
  <si>
    <t>392-023-9893</t>
  </si>
  <si>
    <t>991-968-6611</t>
  </si>
  <si>
    <t>VO THI PHUONG DUNG</t>
  </si>
  <si>
    <t>971-556-8587</t>
  </si>
  <si>
    <t>TRINH ANH TUAN</t>
  </si>
  <si>
    <t>819-305-7131</t>
  </si>
  <si>
    <t>224-603-3694</t>
  </si>
  <si>
    <t>949-194-2987</t>
  </si>
  <si>
    <t>NGUYEN THANH DOAN</t>
  </si>
  <si>
    <t>639-308-8527</t>
  </si>
  <si>
    <t>862-638-3265</t>
  </si>
  <si>
    <t>518-615-0047</t>
  </si>
  <si>
    <t>122-899-4986</t>
  </si>
  <si>
    <t>SANG THANH NGUYEN</t>
  </si>
  <si>
    <t>731-650-8849</t>
  </si>
  <si>
    <t>086-117-7680</t>
  </si>
  <si>
    <t>756-720-7394</t>
  </si>
  <si>
    <t>382-485-3220</t>
  </si>
  <si>
    <t>TRIEU HAI DANG LAM</t>
  </si>
  <si>
    <t>243-562-6447</t>
  </si>
  <si>
    <t>NGUYEN THANH THANG</t>
  </si>
  <si>
    <t>699-821-1721</t>
  </si>
  <si>
    <t>NGUYEN THI THANH NGUYET</t>
  </si>
  <si>
    <t>549-034-8921</t>
  </si>
  <si>
    <t>NGUYEN KHANH HANG</t>
  </si>
  <si>
    <t>440-443-8676</t>
  </si>
  <si>
    <t>067-976-6966</t>
  </si>
  <si>
    <t>NGUYEN THI LAN</t>
  </si>
  <si>
    <t>903-082-3288</t>
  </si>
  <si>
    <t>NGUYEN LAM THI HONG</t>
  </si>
  <si>
    <t>635-781-6666</t>
  </si>
  <si>
    <t>NGUYEN TRUNG TUAN ANH</t>
  </si>
  <si>
    <t>932-596-5531</t>
  </si>
  <si>
    <t>690-729-7466</t>
  </si>
  <si>
    <t>SON THI VI</t>
  </si>
  <si>
    <t>205-332-5907</t>
  </si>
  <si>
    <t>139-753-5872</t>
  </si>
  <si>
    <t>346-932-3070</t>
  </si>
  <si>
    <t>NGOC TRINH TRAN</t>
  </si>
  <si>
    <t>277-713-7755</t>
  </si>
  <si>
    <t>THANH TRA TRUONG</t>
  </si>
  <si>
    <t>251-806-3946</t>
  </si>
  <si>
    <t>ZA'VIER MYKEL JAMES</t>
  </si>
  <si>
    <t>715-657-7800</t>
  </si>
  <si>
    <t>320-158-7173</t>
  </si>
  <si>
    <t>DUC MINH NGUYEN</t>
  </si>
  <si>
    <t>697-094-4031</t>
  </si>
  <si>
    <t>VO HOANG VU</t>
  </si>
  <si>
    <t>232-594-1936</t>
  </si>
  <si>
    <t>347-141-1274</t>
  </si>
  <si>
    <t>744-128-2657</t>
  </si>
  <si>
    <t>BAO HAN LE</t>
  </si>
  <si>
    <t>043-399-1342</t>
  </si>
  <si>
    <t>NGOC TRAM VO</t>
  </si>
  <si>
    <t>960-936-3504</t>
  </si>
  <si>
    <t>953-604-9489</t>
  </si>
  <si>
    <t>WILLIAM AUGUST BLIXT</t>
  </si>
  <si>
    <t>460-429-6702</t>
  </si>
  <si>
    <t>714-513-0576</t>
  </si>
  <si>
    <t>TRAN THI HOANG VY</t>
  </si>
  <si>
    <t>738-717-5851</t>
  </si>
  <si>
    <t>HUY VAN NGUYEN</t>
  </si>
  <si>
    <t>313-033-4246</t>
  </si>
  <si>
    <t>XUAN THI NGUYEN</t>
  </si>
  <si>
    <t>574-638-7079</t>
  </si>
  <si>
    <t>228-947-5466</t>
  </si>
  <si>
    <t>DIEU THI NGUYEN</t>
  </si>
  <si>
    <t>871-444-4277</t>
  </si>
  <si>
    <t>HUY GIA NGOC NGUYEN</t>
  </si>
  <si>
    <t>717-214-8091</t>
  </si>
  <si>
    <t>DUY NGOC PHAN</t>
  </si>
  <si>
    <t>668-603-7031</t>
  </si>
  <si>
    <t>TUAN HOANG LE NGUYEN</t>
  </si>
  <si>
    <t>794-562-6043</t>
  </si>
  <si>
    <t>MOSES KPAYEH BAH ZEATY</t>
  </si>
  <si>
    <t>299-533-8009</t>
  </si>
  <si>
    <t>659-236-6752</t>
  </si>
  <si>
    <t>SO LI HAH</t>
  </si>
  <si>
    <t>466-775-8650</t>
  </si>
  <si>
    <t>HUGO PIERRE MEHDI SERRE</t>
  </si>
  <si>
    <t>695-989-7188</t>
  </si>
  <si>
    <t>654-249-2831</t>
  </si>
  <si>
    <t>HUY XUAN NGUYEN</t>
  </si>
  <si>
    <t>767-841-3333</t>
  </si>
  <si>
    <t>PHAN HONG LUONG</t>
  </si>
  <si>
    <t>134-955-8213</t>
  </si>
  <si>
    <t>LOC BA HUYNH</t>
  </si>
  <si>
    <t>623-835-5336</t>
  </si>
  <si>
    <t>132-720-0381</t>
  </si>
  <si>
    <t>DAT TAN HUYNH</t>
  </si>
  <si>
    <t>943-690-7938</t>
  </si>
  <si>
    <t>262-073-0420</t>
  </si>
  <si>
    <t>513-388-2406</t>
  </si>
  <si>
    <t>KATERYNA DUDARIEVA</t>
  </si>
  <si>
    <t>664-531-8438</t>
  </si>
  <si>
    <t>701-836-5410</t>
  </si>
  <si>
    <t>692-185-0459</t>
  </si>
  <si>
    <t>810-062-7955</t>
  </si>
  <si>
    <t>490-911-3667</t>
  </si>
  <si>
    <t>HONG NGUYEN THI</t>
  </si>
  <si>
    <t>459-251-1741</t>
  </si>
  <si>
    <t>HANG DAO NGOC THANH</t>
  </si>
  <si>
    <t>162-122-7391</t>
  </si>
  <si>
    <t>843-722-4160</t>
  </si>
  <si>
    <t>THI THANH THUY NGUYEN</t>
  </si>
  <si>
    <t>619-979-0598</t>
  </si>
  <si>
    <t>GIAU BUI THI NGOC</t>
  </si>
  <si>
    <t>181-666-1363</t>
  </si>
  <si>
    <t>SA LAY MAN HAMID</t>
  </si>
  <si>
    <t>071-391-2674</t>
  </si>
  <si>
    <t>DUYEN ANH NGUYEN</t>
  </si>
  <si>
    <t>014-575-6586</t>
  </si>
  <si>
    <t>TUYEN THI THAI</t>
  </si>
  <si>
    <t>662-153-5565</t>
  </si>
  <si>
    <t>TRAN QUOC LINH</t>
  </si>
  <si>
    <t>145-959-4091</t>
  </si>
  <si>
    <t>TRAN THI KIM THAO</t>
  </si>
  <si>
    <t>584-519-0196</t>
  </si>
  <si>
    <t>NGUYEN THI THANH NGOC</t>
  </si>
  <si>
    <t>427-794-3734</t>
  </si>
  <si>
    <t>576-113-2882</t>
  </si>
  <si>
    <t>ROHIT SHAH</t>
  </si>
  <si>
    <t>060-724-2621</t>
  </si>
  <si>
    <t>KHANH DUONG NGUYEN</t>
  </si>
  <si>
    <t>410-461-1587</t>
  </si>
  <si>
    <t>NGUYEN NGOC ANH SUONG</t>
  </si>
  <si>
    <t>787-686-2609</t>
  </si>
  <si>
    <t>PHILLIP QUINTEN MASON</t>
  </si>
  <si>
    <t>365-063-6856</t>
  </si>
  <si>
    <t>NGUYEN THI ANH HONG</t>
  </si>
  <si>
    <t>716-358-8944</t>
  </si>
  <si>
    <t>805-428-2210</t>
  </si>
  <si>
    <t>TRIEU LE CONG</t>
  </si>
  <si>
    <t>337-965-3006</t>
  </si>
  <si>
    <t>NGAN NGUYEN PHAM BAO</t>
  </si>
  <si>
    <t>686-942-3968</t>
  </si>
  <si>
    <t>TO NGOC MAI</t>
  </si>
  <si>
    <t>127-211-8161</t>
  </si>
  <si>
    <t>NGUYEN THI VE</t>
  </si>
  <si>
    <t>624-232-0461</t>
  </si>
  <si>
    <t>651-339-3575</t>
  </si>
  <si>
    <t>JEAN FRANCOIS ROBERT BEGIN</t>
  </si>
  <si>
    <t>972-933-4390</t>
  </si>
  <si>
    <t>THUY THU THI VU</t>
  </si>
  <si>
    <t>403-986-7331</t>
  </si>
  <si>
    <t>PHUONG DIEM LE</t>
  </si>
  <si>
    <t>726-332-2827</t>
  </si>
  <si>
    <t>457-232-9242</t>
  </si>
  <si>
    <t>NOAN PATRICK JOSE OLIVEIRA</t>
  </si>
  <si>
    <t>900-436-9935</t>
  </si>
  <si>
    <t>ALEKSEI MALIAVKO</t>
  </si>
  <si>
    <t>606-920-8101</t>
  </si>
  <si>
    <t>NGOC LOAN NGUYEN VU</t>
  </si>
  <si>
    <t>696-374-2459</t>
  </si>
  <si>
    <t>DANG VAN HUYNH</t>
  </si>
  <si>
    <t>255-602-7543</t>
  </si>
  <si>
    <t>376-874-4974</t>
  </si>
  <si>
    <t>VI YEN PHAN</t>
  </si>
  <si>
    <t>684-768-0037</t>
  </si>
  <si>
    <t>LUU THI MY TRINH</t>
  </si>
  <si>
    <t>743-367-8722</t>
  </si>
  <si>
    <t>703-765-3848</t>
  </si>
  <si>
    <t>603-014-6283</t>
  </si>
  <si>
    <t>727-253-8325</t>
  </si>
  <si>
    <t>423-203-6945</t>
  </si>
  <si>
    <t>KIEN TRUNG DUONG</t>
  </si>
  <si>
    <t>876-029-5609</t>
  </si>
  <si>
    <t>NGUYEN VINH HAO</t>
  </si>
  <si>
    <t>314-114-3379</t>
  </si>
  <si>
    <t>VI ANH LUONG</t>
  </si>
  <si>
    <t>243-795-6311</t>
  </si>
  <si>
    <t>TRAN DINH MAI TRAM</t>
  </si>
  <si>
    <t>233-183-9302</t>
  </si>
  <si>
    <t>DIEM CHAU NGUYEN LUU</t>
  </si>
  <si>
    <t>701-846-9837</t>
  </si>
  <si>
    <t>TRUYEN TIEN NGUYEN</t>
  </si>
  <si>
    <t>550-043-3521</t>
  </si>
  <si>
    <t>329-656-9495</t>
  </si>
  <si>
    <t>918-969-4411</t>
  </si>
  <si>
    <t>THI HUYEN ANH LE</t>
  </si>
  <si>
    <t>195-775-1041</t>
  </si>
  <si>
    <t>LAN HUONG NGUYEN THI</t>
  </si>
  <si>
    <t>194-593-3603</t>
  </si>
  <si>
    <t>THUY TRAN THI THU</t>
  </si>
  <si>
    <t>142-348-8633</t>
  </si>
  <si>
    <t>HA VAN TIEM</t>
  </si>
  <si>
    <t>981-379-2774</t>
  </si>
  <si>
    <t>THI LE THAI</t>
  </si>
  <si>
    <t>060-459-5783</t>
  </si>
  <si>
    <t>845-405-4309</t>
  </si>
  <si>
    <t>LE MINH BAO NGOC</t>
  </si>
  <si>
    <t>526-935-3861</t>
  </si>
  <si>
    <t>HUYNH DINH VAN</t>
  </si>
  <si>
    <t>421-109-6784</t>
  </si>
  <si>
    <t>MAI NGOC MY NHUNG</t>
  </si>
  <si>
    <t>307-744-0823</t>
  </si>
  <si>
    <t>HIEN NGUYEN THI THANH</t>
  </si>
  <si>
    <t>746-375-6557</t>
  </si>
  <si>
    <t>VINH THE NGUYEN</t>
  </si>
  <si>
    <t>065-597-8997</t>
  </si>
  <si>
    <t>TAE DONG KIM</t>
  </si>
  <si>
    <t>276-533-5441</t>
  </si>
  <si>
    <t>DO THUY LINH</t>
  </si>
  <si>
    <t>471-563-5155</t>
  </si>
  <si>
    <t>125-633-4627</t>
  </si>
  <si>
    <t>TRUONG THI BICH LOAN</t>
  </si>
  <si>
    <t>792-926-9216</t>
  </si>
  <si>
    <t>THI NGOC TUYEN NGUYEN</t>
  </si>
  <si>
    <t>146-453-7520</t>
  </si>
  <si>
    <t>TOMAS DEN BRAVEN</t>
  </si>
  <si>
    <t>402-932-9780</t>
  </si>
  <si>
    <t>TRAN VAN LAM HUYNH</t>
  </si>
  <si>
    <t>167-804-1891</t>
  </si>
  <si>
    <t>TRAM THUY PHAM</t>
  </si>
  <si>
    <t>873-804-7675</t>
  </si>
  <si>
    <t>THU THI PHAN</t>
  </si>
  <si>
    <t>384-111-8051</t>
  </si>
  <si>
    <t>HO LE HONG NGOC</t>
  </si>
  <si>
    <t>013-441-4980</t>
  </si>
  <si>
    <t>TRAM NGOC TRAN</t>
  </si>
  <si>
    <t>193-809-7422</t>
  </si>
  <si>
    <t>KY THAT TON</t>
  </si>
  <si>
    <t>487-292-4700</t>
  </si>
  <si>
    <t>NGUYEN THI HOAI ANH</t>
  </si>
  <si>
    <t>622-942-0521</t>
  </si>
  <si>
    <t>VIDAL MOUTONNET</t>
  </si>
  <si>
    <t>373-082-6321</t>
  </si>
  <si>
    <t>GIANG CAM NGUYEN</t>
  </si>
  <si>
    <t>833-482-8718</t>
  </si>
  <si>
    <t>SAURABH GUPTA</t>
  </si>
  <si>
    <t>756-725-9965</t>
  </si>
  <si>
    <t>222-732-4113</t>
  </si>
  <si>
    <t>THI THU HA HUYNH</t>
  </si>
  <si>
    <t>310-647-5546</t>
  </si>
  <si>
    <t>PHUNG LIEU MY TIEN</t>
  </si>
  <si>
    <t>659-374-1579</t>
  </si>
  <si>
    <t>040-091-6521</t>
  </si>
  <si>
    <t>322-973-8155</t>
  </si>
  <si>
    <t>344-238-7589</t>
  </si>
  <si>
    <t>THI PHUONG THAO NGUYEN</t>
  </si>
  <si>
    <t>698-633-6011</t>
  </si>
  <si>
    <t>692-966-3236</t>
  </si>
  <si>
    <t>233-191-2214</t>
  </si>
  <si>
    <t>894-923-0184</t>
  </si>
  <si>
    <t>COLIN STANLEY CLARKE</t>
  </si>
  <si>
    <t>458-629-1736</t>
  </si>
  <si>
    <t>THUY BICH HAN NGUYEN</t>
  </si>
  <si>
    <t>831-567-8275</t>
  </si>
  <si>
    <t>350-973-3480</t>
  </si>
  <si>
    <t>THUY THANH BUI</t>
  </si>
  <si>
    <t>362-297-0488</t>
  </si>
  <si>
    <t>NGUYEN HAI BANG</t>
  </si>
  <si>
    <t>227-803-9031</t>
  </si>
  <si>
    <t>KIM HA DANH</t>
  </si>
  <si>
    <t>705-248-3132</t>
  </si>
  <si>
    <t>LY HUONG THI LE</t>
  </si>
  <si>
    <t>669-760-8005</t>
  </si>
  <si>
    <t>957-285-0157</t>
  </si>
  <si>
    <t>CHAU NGUYEN THAI VAN</t>
  </si>
  <si>
    <t>773-660-7299</t>
  </si>
  <si>
    <t>NGUYEN THANH THUT</t>
  </si>
  <si>
    <t>672-506-2440</t>
  </si>
  <si>
    <t>DUONG TU TRINH</t>
  </si>
  <si>
    <t>914-464-7016</t>
  </si>
  <si>
    <t>THI KIM HONG HO</t>
  </si>
  <si>
    <t>921-355-8566</t>
  </si>
  <si>
    <t>698-469-5342</t>
  </si>
  <si>
    <t>KENZO MUKENDI MBUYI</t>
  </si>
  <si>
    <t>637-420-7676</t>
  </si>
  <si>
    <t>NA ZU RAH KASSIM</t>
  </si>
  <si>
    <t>529-168-4927</t>
  </si>
  <si>
    <t>HUYNH THI CAM LINH</t>
  </si>
  <si>
    <t>094-233-7731</t>
  </si>
  <si>
    <t>324-209-4888</t>
  </si>
  <si>
    <t>152-362-6986</t>
  </si>
  <si>
    <t>PHAN KINH AN</t>
  </si>
  <si>
    <t>032-591-0027</t>
  </si>
  <si>
    <t>MARIO THIERSTEIN</t>
  </si>
  <si>
    <t>534-942-7836</t>
  </si>
  <si>
    <t>631-371-7727</t>
  </si>
  <si>
    <t>746-594-2504</t>
  </si>
  <si>
    <t>838-933-0147</t>
  </si>
  <si>
    <t>578-190-6870</t>
  </si>
  <si>
    <t>JARED DANIEL COSTA</t>
  </si>
  <si>
    <t>424-698-2902</t>
  </si>
  <si>
    <t>647-358-6020</t>
  </si>
  <si>
    <t>843-960-2681</t>
  </si>
  <si>
    <t>PHUC PHUOC NGUYEN</t>
  </si>
  <si>
    <t>926-363-2477</t>
  </si>
  <si>
    <t>332-982-7612</t>
  </si>
  <si>
    <t>HONG THI NGUYEN</t>
  </si>
  <si>
    <t>417-315-7405</t>
  </si>
  <si>
    <t>DINH MY NGO</t>
  </si>
  <si>
    <t>217-741-7952</t>
  </si>
  <si>
    <t>682-975-5719</t>
  </si>
  <si>
    <t>NHUNG XUAN THI PHAM</t>
  </si>
  <si>
    <t>631-371-4207</t>
  </si>
  <si>
    <t>BAHAA M R ALBATTSH</t>
  </si>
  <si>
    <t>203-479-4966</t>
  </si>
  <si>
    <t>KOICHI SATO</t>
  </si>
  <si>
    <t>710-067-7391</t>
  </si>
  <si>
    <t>391-285-2559</t>
  </si>
  <si>
    <t>410-474-2752</t>
  </si>
  <si>
    <t>475-311-5275</t>
  </si>
  <si>
    <t>RODIAT OLATUNDUN BELLO</t>
  </si>
  <si>
    <t>341-126-8723</t>
  </si>
  <si>
    <t>851-078-7812</t>
  </si>
  <si>
    <t>TRUC LY PHAM THI</t>
  </si>
  <si>
    <t>228-117-7753</t>
  </si>
  <si>
    <t>DAT TAN VUONG</t>
  </si>
  <si>
    <t>702-938-4853</t>
  </si>
  <si>
    <t>809-690-4271</t>
  </si>
  <si>
    <t>LUCY JENNIFER CAHIR</t>
  </si>
  <si>
    <t>774-943-6627</t>
  </si>
  <si>
    <t>921-804-5741</t>
  </si>
  <si>
    <t>VAN TUNG NGUYEN</t>
  </si>
  <si>
    <t>186-048-2499</t>
  </si>
  <si>
    <t>NGUYEN THI THU HUE</t>
  </si>
  <si>
    <t>531-302-9053</t>
  </si>
  <si>
    <t>ANH TUYET HUYNH THI</t>
  </si>
  <si>
    <t>043-094-6158</t>
  </si>
  <si>
    <t>183-449-7324</t>
  </si>
  <si>
    <t>940-952-6570</t>
  </si>
  <si>
    <t>981-392-1126</t>
  </si>
  <si>
    <t>853-351-0166</t>
  </si>
  <si>
    <t>ARACELI QUINTERO BARRANCO</t>
  </si>
  <si>
    <t>512-764-8311</t>
  </si>
  <si>
    <t>MI DAO THI TRUC</t>
  </si>
  <si>
    <t>040-367-0418</t>
  </si>
  <si>
    <t>544-803-2522</t>
  </si>
  <si>
    <t>941-355-7053</t>
  </si>
  <si>
    <t>427-795-4294</t>
  </si>
  <si>
    <t>PHAM QUANG LIEM</t>
  </si>
  <si>
    <t>063-754-6001</t>
  </si>
  <si>
    <t>821-390-4644</t>
  </si>
  <si>
    <t>THUC DUONG LE MINH</t>
  </si>
  <si>
    <t>368-602-3904</t>
  </si>
  <si>
    <t>PHAM HONG VAN</t>
  </si>
  <si>
    <t>265-732-5736</t>
  </si>
  <si>
    <t>TOAN VAN NGUYEN</t>
  </si>
  <si>
    <t>191-834-8397</t>
  </si>
  <si>
    <t>NGO HOANG GIANG</t>
  </si>
  <si>
    <t>041-413-9339</t>
  </si>
  <si>
    <t>941-357-3150</t>
  </si>
  <si>
    <t>729-392-8285</t>
  </si>
  <si>
    <t>THUY TRINH DANH THI</t>
  </si>
  <si>
    <t>266-577-0199</t>
  </si>
  <si>
    <t>995-309-6548</t>
  </si>
  <si>
    <t>332-983-4634</t>
  </si>
  <si>
    <t>365-090-7795</t>
  </si>
  <si>
    <t>985-367-5771</t>
  </si>
  <si>
    <t>490-456-7183</t>
  </si>
  <si>
    <t>JACKIE DUNG NGUYEN</t>
  </si>
  <si>
    <t>195-503-7314</t>
  </si>
  <si>
    <t>THANH YEN LU</t>
  </si>
  <si>
    <t>735-604-8040</t>
  </si>
  <si>
    <t>759-789-8313</t>
  </si>
  <si>
    <t>MARCELO JAVIER JUNYENT MORENO</t>
  </si>
  <si>
    <t>796-312-4919</t>
  </si>
  <si>
    <t>CHI THI NGUYEN</t>
  </si>
  <si>
    <t>533-867-7654</t>
  </si>
  <si>
    <t>309-258-4415</t>
  </si>
  <si>
    <t>MO HO</t>
  </si>
  <si>
    <t>137-397-4833</t>
  </si>
  <si>
    <t>TRAN DUY LONG</t>
  </si>
  <si>
    <t>392-910-0842</t>
  </si>
  <si>
    <t>DANG THI XUAN DAO</t>
  </si>
  <si>
    <t>901-499-5469</t>
  </si>
  <si>
    <t>NGUYEN THI QUYNH HOA</t>
  </si>
  <si>
    <t>281-670-8077</t>
  </si>
  <si>
    <t>653-381-7451</t>
  </si>
  <si>
    <t>127-225-8521</t>
  </si>
  <si>
    <t>OLIVIER VINCENT IMBERT</t>
  </si>
  <si>
    <t>751-236-2545</t>
  </si>
  <si>
    <t>HUONG HO THI THU</t>
  </si>
  <si>
    <t>796-310-7052</t>
  </si>
  <si>
    <t>THANH LE TUAN</t>
  </si>
  <si>
    <t>012-042-3061</t>
  </si>
  <si>
    <t>307-238-4738</t>
  </si>
  <si>
    <t>961-125-2920</t>
  </si>
  <si>
    <t>CHI NGUYEN NGOC LAN</t>
  </si>
  <si>
    <t>816-946-9856</t>
  </si>
  <si>
    <t>HOAI LINH NGUYEN THI</t>
  </si>
  <si>
    <t>883-978-3466</t>
  </si>
  <si>
    <t>344-252-4602</t>
  </si>
  <si>
    <t>115-023-8198</t>
  </si>
  <si>
    <t>DANTE DEDASE ELUPRE</t>
  </si>
  <si>
    <t>966-559-3777</t>
  </si>
  <si>
    <t>HAN THANH CHUNG</t>
  </si>
  <si>
    <t>633-855-4665</t>
  </si>
  <si>
    <t>213-351-1468</t>
  </si>
  <si>
    <t>777-763-8200</t>
  </si>
  <si>
    <t>777-583-4062</t>
  </si>
  <si>
    <t>571-701-3437</t>
  </si>
  <si>
    <t>CHINH KIEU LE</t>
  </si>
  <si>
    <t>029-683-6300</t>
  </si>
  <si>
    <t>292-212-4835</t>
  </si>
  <si>
    <t>LINH PHAM HUE</t>
  </si>
  <si>
    <t>484-098-5419</t>
  </si>
  <si>
    <t>079-698-7871</t>
  </si>
  <si>
    <t>NGUYEN THI THANH TUYEN</t>
  </si>
  <si>
    <t>560-947-2496</t>
  </si>
  <si>
    <t>ANAS DAOUDI</t>
  </si>
  <si>
    <t>157-829-0381</t>
  </si>
  <si>
    <t>NGOC TUYEN PHAM THI</t>
  </si>
  <si>
    <t>331-798-4361</t>
  </si>
  <si>
    <t>809-696-4532</t>
  </si>
  <si>
    <t>127-227-2051</t>
  </si>
  <si>
    <t>190-689-5389</t>
  </si>
  <si>
    <t>JACQUELINE TRINH LE</t>
  </si>
  <si>
    <t>621-106-3647</t>
  </si>
  <si>
    <t>494-930-6441</t>
  </si>
  <si>
    <t>LUU TRAN THI THANH</t>
  </si>
  <si>
    <t>661-748-7610</t>
  </si>
  <si>
    <t>300-538-9314</t>
  </si>
  <si>
    <t>TRANG THUY THI NGUYEN</t>
  </si>
  <si>
    <t>840-936-3962</t>
  </si>
  <si>
    <t>ANH HOANG NGUYEN PHAM</t>
  </si>
  <si>
    <t>764-214-1023</t>
  </si>
  <si>
    <t>THU TRAN VO HOAI</t>
  </si>
  <si>
    <t>903-119-2521</t>
  </si>
  <si>
    <t>773-380-0997</t>
  </si>
  <si>
    <t>062-789-0018</t>
  </si>
  <si>
    <t>NGOC NHO TRAN</t>
  </si>
  <si>
    <t>989-910-7727</t>
  </si>
  <si>
    <t>HUU NHAN HUYNH</t>
  </si>
  <si>
    <t>523-721-0474</t>
  </si>
  <si>
    <t>446-669-1449</t>
  </si>
  <si>
    <t>NGUYEN KHANH LINH</t>
  </si>
  <si>
    <t>831-586-7310</t>
  </si>
  <si>
    <t>NGUYEN THI TRUC LY</t>
  </si>
  <si>
    <t>097-684-3615</t>
  </si>
  <si>
    <t>DONG PHAM VAN</t>
  </si>
  <si>
    <t>784-361-3281</t>
  </si>
  <si>
    <t>THUY PHUONG PHAM</t>
  </si>
  <si>
    <t>446-794-1461</t>
  </si>
  <si>
    <t>107-499-2040</t>
  </si>
  <si>
    <t>THI BICH THAO LE</t>
  </si>
  <si>
    <t>584-280-8631</t>
  </si>
  <si>
    <t>886-802-0285</t>
  </si>
  <si>
    <t>796-783-4697</t>
  </si>
  <si>
    <t>LILLY NGAN TRAN</t>
  </si>
  <si>
    <t>923-584-3935</t>
  </si>
  <si>
    <t>876-041-1731</t>
  </si>
  <si>
    <t>348-256-7081</t>
  </si>
  <si>
    <t>NGUYEN PHUOC DAT</t>
  </si>
  <si>
    <t>227-490-1354</t>
  </si>
  <si>
    <t>927-803-5300</t>
  </si>
  <si>
    <t>TRAN MY UYEN</t>
  </si>
  <si>
    <t>555-102-1077</t>
  </si>
  <si>
    <t>CHAU NGOC HOANG GIA</t>
  </si>
  <si>
    <t>817-210-8445</t>
  </si>
  <si>
    <t>BINH QUOC THAI</t>
  </si>
  <si>
    <t>341-566-9338</t>
  </si>
  <si>
    <t>HOA QUYNH TRUONG</t>
  </si>
  <si>
    <t>502-986-0741</t>
  </si>
  <si>
    <t>MAI DAI PHUC TRAN</t>
  </si>
  <si>
    <t>943-166-4907</t>
  </si>
  <si>
    <t>983-659-0267</t>
  </si>
  <si>
    <t>635-622-0520</t>
  </si>
  <si>
    <t>535-112-6879</t>
  </si>
  <si>
    <t>FABIAN HENDRIK M BUYSSE</t>
  </si>
  <si>
    <t>016-357-0253</t>
  </si>
  <si>
    <t>139-041-8680</t>
  </si>
  <si>
    <t>230-234-0179</t>
  </si>
  <si>
    <t>KHEDIM HABIB MOUFFOK</t>
  </si>
  <si>
    <t>413-622-8385</t>
  </si>
  <si>
    <t>ASHA JACK</t>
  </si>
  <si>
    <t>806-319-5080</t>
  </si>
  <si>
    <t>734-502-7158</t>
  </si>
  <si>
    <t>PHAM THI NGOC TUYEN</t>
  </si>
  <si>
    <t>696-384-2411</t>
  </si>
  <si>
    <t>NHAN TRAN THO</t>
  </si>
  <si>
    <t>821-304-3299</t>
  </si>
  <si>
    <t>QUOC HOANG NGUYEN</t>
  </si>
  <si>
    <t>468-910-9780</t>
  </si>
  <si>
    <t>656-300-1966</t>
  </si>
  <si>
    <t>133-720-0922</t>
  </si>
  <si>
    <t>910-802-7417</t>
  </si>
  <si>
    <t>KHAING ZIN MYO THWIN</t>
  </si>
  <si>
    <t>019-755-6653</t>
  </si>
  <si>
    <t>809-057-0719</t>
  </si>
  <si>
    <t>RADHWEN ROUIHEM</t>
  </si>
  <si>
    <t>758-206-3473</t>
  </si>
  <si>
    <t>922-105-8953</t>
  </si>
  <si>
    <t>LE NGUYEN PHUONG ANH</t>
  </si>
  <si>
    <t>001-381-0365</t>
  </si>
  <si>
    <t>ADAM MILOSZ KLEJNO</t>
  </si>
  <si>
    <t>223-841-2875</t>
  </si>
  <si>
    <t>380-152-4831</t>
  </si>
  <si>
    <t>504-047-1911</t>
  </si>
  <si>
    <t>DANG KHOA VU</t>
  </si>
  <si>
    <t>956-649-6794</t>
  </si>
  <si>
    <t>517-808-6624</t>
  </si>
  <si>
    <t>LA KIM HOA</t>
  </si>
  <si>
    <t>495-983-1298</t>
  </si>
  <si>
    <t>729-589-7981</t>
  </si>
  <si>
    <t>LE THI TUYET DAL</t>
  </si>
  <si>
    <t>310-025-3991</t>
  </si>
  <si>
    <t>500-613-9111</t>
  </si>
  <si>
    <t>NI NI WIN</t>
  </si>
  <si>
    <t>946-226-2784</t>
  </si>
  <si>
    <t>THINH DUC LE</t>
  </si>
  <si>
    <t>136-494-1852</t>
  </si>
  <si>
    <t>PHAM THI KIM NGOC</t>
  </si>
  <si>
    <t>765-131-3493</t>
  </si>
  <si>
    <t>066-580-2658</t>
  </si>
  <si>
    <t>TRAN THI PHUC LOI</t>
  </si>
  <si>
    <t>970-805-2708</t>
  </si>
  <si>
    <t>ANTONI MARCEL MAJEWSKI</t>
  </si>
  <si>
    <t>897-482-5362</t>
  </si>
  <si>
    <t>646-073-4087</t>
  </si>
  <si>
    <t>KUMUSH HUMMEDOVA</t>
  </si>
  <si>
    <t>451-049-4002</t>
  </si>
  <si>
    <t>789-603-6233</t>
  </si>
  <si>
    <t>239-539-1359</t>
  </si>
  <si>
    <t>753-362-3200</t>
  </si>
  <si>
    <t>948-375-6685</t>
  </si>
  <si>
    <t>HANAKIL NO SURENAME</t>
  </si>
  <si>
    <t>460-962-4837</t>
  </si>
  <si>
    <t>FIORI MEKONNEN</t>
  </si>
  <si>
    <t>531-268-5267</t>
  </si>
  <si>
    <t>018-749-0067</t>
  </si>
  <si>
    <t>CALVIN JOHN KANE</t>
  </si>
  <si>
    <t>118-657-4344</t>
  </si>
  <si>
    <t>149-795-2076</t>
  </si>
  <si>
    <t>WARD ROBERT COWAN</t>
  </si>
  <si>
    <t>787-691-5959</t>
  </si>
  <si>
    <t>088-260-4930</t>
  </si>
  <si>
    <t>THI HUONG NGUYEN</t>
  </si>
  <si>
    <t>TRA  CN AN DONG</t>
  </si>
  <si>
    <t>NGUYEN KHANH LINH 
NGUYEN KHANH LINH</t>
  </si>
  <si>
    <t>JOHN-ARE BRUKET 
ANDREASSEN</t>
  </si>
  <si>
    <t>MICHAEL BABATUNDE 
OLOWU</t>
  </si>
  <si>
    <t>ARNAULD ARCHANGE 
BEMBA</t>
  </si>
  <si>
    <t>DIEGO ALEJANDRO 
URBINA GONZALEZ</t>
  </si>
  <si>
    <t>JOSE ALEJANDRO 
EDWARD GARCIA</t>
  </si>
  <si>
    <t>MATTHEW DARREN 
ANTHONY DON</t>
  </si>
  <si>
    <t>VINCENTIUS ADRIANUS 
MARIA VAN DER BURG</t>
  </si>
  <si>
    <t>LENNART MARCO 
MEYER WENTRUP</t>
  </si>
  <si>
    <t>MOHAMED CHAOUKI 
BOUHADJERA</t>
  </si>
  <si>
    <t>ANTHONY WILLIAM
 CLARKE</t>
  </si>
  <si>
    <t>Cty tạm ứng tạm thời</t>
  </si>
  <si>
    <t>CRESALES TABERNILLA 
MEDINILLA</t>
  </si>
  <si>
    <t>MATTHEW DARREN
ANTHONY DON</t>
  </si>
  <si>
    <t>ROBERT MARK 
NGUYEN WEBER</t>
  </si>
  <si>
    <t>Hoàn ứng</t>
  </si>
  <si>
    <t>TRAN PHAM HA CHAU 
NOLASTNAME</t>
  </si>
  <si>
    <t>FRANK ROBERT 
SEBASTIAAN KLEP</t>
  </si>
  <si>
    <t>ADETOYE JAMIE 
AKINTUNDE KOLARU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</si>
</sst>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rgb="FFFF0000"/>
      <name val="Times New Roman"/>
      <family val="1"/>
    </font>
    <font>
      <b/>
      <sz val="10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theme="1"/>
      <name val="Times\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9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b/>
      <sz val="9"/>
      <color rgb="FF000000"/>
      <name val="Times New Roman"/>
      <family val="1"/>
    </font>
    <font>
      <sz val="9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8">
    <xf numFmtId="0" fontId="0" fillId="0" borderId="0" xfId="0"/>
    <xf numFmtId="0" fontId="4" fillId="2" borderId="0" xfId="0" applyFont="1" applyFill="1"/>
    <xf numFmtId="16" fontId="4" fillId="2" borderId="0" xfId="0" applyNumberFormat="1" applyFont="1" applyFill="1"/>
    <xf numFmtId="39" fontId="3" fillId="2" borderId="1" xfId="1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0" xfId="0" applyFont="1" applyFill="1"/>
    <xf numFmtId="49" fontId="4" fillId="2" borderId="0" xfId="0" applyNumberFormat="1" applyFont="1" applyFill="1" applyAlignment="1">
      <alignment horizontal="left"/>
    </xf>
    <xf numFmtId="39" fontId="5" fillId="2" borderId="0" xfId="0" applyNumberFormat="1" applyFont="1" applyFill="1"/>
    <xf numFmtId="0" fontId="5" fillId="2" borderId="8" xfId="0" applyFont="1" applyFill="1" applyBorder="1" applyAlignment="1">
      <alignment horizontal="center" vertical="center"/>
    </xf>
    <xf numFmtId="0" fontId="5" fillId="2" borderId="0" xfId="0" applyFont="1" applyFill="1"/>
    <xf numFmtId="0" fontId="7" fillId="3" borderId="0" xfId="0" applyFont="1" applyFill="1"/>
    <xf numFmtId="0" fontId="8" fillId="3" borderId="0" xfId="0" applyFont="1" applyFill="1"/>
    <xf numFmtId="0" fontId="9" fillId="0" borderId="0" xfId="0" applyFont="1"/>
    <xf numFmtId="43" fontId="9" fillId="0" borderId="0" xfId="1" applyFont="1" applyBorder="1"/>
    <xf numFmtId="164" fontId="9" fillId="0" borderId="0" xfId="1" applyNumberFormat="1" applyFont="1" applyBorder="1"/>
    <xf numFmtId="43" fontId="0" fillId="0" borderId="0" xfId="1" applyFont="1"/>
    <xf numFmtId="164" fontId="0" fillId="0" borderId="0" xfId="1" applyNumberFormat="1" applyFont="1"/>
    <xf numFmtId="0" fontId="4" fillId="0" borderId="7" xfId="0" applyFont="1" applyBorder="1"/>
    <xf numFmtId="0" fontId="4" fillId="0" borderId="1" xfId="0" applyFont="1" applyBorder="1"/>
    <xf numFmtId="4" fontId="4" fillId="0" borderId="1" xfId="0" applyNumberFormat="1" applyFont="1" applyBorder="1"/>
    <xf numFmtId="3" fontId="4" fillId="0" borderId="8" xfId="0" applyNumberFormat="1" applyFont="1" applyBorder="1"/>
    <xf numFmtId="0" fontId="4" fillId="0" borderId="8" xfId="0" applyFont="1" applyBorder="1"/>
    <xf numFmtId="14" fontId="4" fillId="0" borderId="1" xfId="0" applyNumberFormat="1" applyFont="1" applyBorder="1"/>
    <xf numFmtId="3" fontId="4" fillId="0" borderId="1" xfId="0" applyNumberFormat="1" applyFont="1" applyBorder="1"/>
    <xf numFmtId="0" fontId="5" fillId="0" borderId="2" xfId="0" applyFont="1" applyBorder="1"/>
    <xf numFmtId="0" fontId="5" fillId="0" borderId="3" xfId="0" applyFont="1" applyBorder="1"/>
    <xf numFmtId="4" fontId="5" fillId="0" borderId="3" xfId="0" applyNumberFormat="1" applyFont="1" applyBorder="1"/>
    <xf numFmtId="3" fontId="5" fillId="0" borderId="3" xfId="0" applyNumberFormat="1" applyFont="1" applyBorder="1"/>
    <xf numFmtId="3" fontId="5" fillId="0" borderId="9" xfId="0" applyNumberFormat="1" applyFont="1" applyBorder="1"/>
    <xf numFmtId="43" fontId="4" fillId="0" borderId="1" xfId="1" applyFont="1" applyBorder="1"/>
    <xf numFmtId="164" fontId="4" fillId="0" borderId="1" xfId="1" applyNumberFormat="1" applyFont="1" applyBorder="1"/>
    <xf numFmtId="0" fontId="5" fillId="0" borderId="1" xfId="0" applyFont="1" applyBorder="1"/>
    <xf numFmtId="43" fontId="5" fillId="0" borderId="1" xfId="1" applyFont="1" applyBorder="1"/>
    <xf numFmtId="164" fontId="5" fillId="0" borderId="1" xfId="1" applyNumberFormat="1" applyFont="1" applyBorder="1"/>
    <xf numFmtId="164" fontId="4" fillId="0" borderId="8" xfId="1" applyNumberFormat="1" applyFont="1" applyBorder="1"/>
    <xf numFmtId="43" fontId="5" fillId="0" borderId="3" xfId="1" applyFont="1" applyBorder="1"/>
    <xf numFmtId="164" fontId="5" fillId="0" borderId="3" xfId="1" applyNumberFormat="1" applyFont="1" applyBorder="1"/>
    <xf numFmtId="164" fontId="5" fillId="0" borderId="9" xfId="1" applyNumberFormat="1" applyFont="1" applyBorder="1"/>
    <xf numFmtId="39" fontId="10" fillId="2" borderId="1" xfId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2" fillId="0" borderId="7" xfId="0" applyFont="1" applyBorder="1"/>
    <xf numFmtId="0" fontId="12" fillId="0" borderId="1" xfId="0" applyFont="1" applyBorder="1"/>
    <xf numFmtId="43" fontId="12" fillId="0" borderId="1" xfId="1" applyFont="1" applyBorder="1"/>
    <xf numFmtId="164" fontId="12" fillId="0" borderId="1" xfId="1" applyNumberFormat="1" applyFont="1" applyBorder="1"/>
    <xf numFmtId="164" fontId="12" fillId="0" borderId="8" xfId="1" applyNumberFormat="1" applyFont="1" applyBorder="1"/>
    <xf numFmtId="14" fontId="12" fillId="0" borderId="1" xfId="0" applyNumberFormat="1" applyFont="1" applyBorder="1"/>
    <xf numFmtId="0" fontId="11" fillId="0" borderId="2" xfId="0" applyFont="1" applyBorder="1"/>
    <xf numFmtId="0" fontId="11" fillId="0" borderId="3" xfId="0" applyFont="1" applyBorder="1"/>
    <xf numFmtId="164" fontId="11" fillId="0" borderId="3" xfId="1" applyNumberFormat="1" applyFont="1" applyBorder="1"/>
    <xf numFmtId="43" fontId="11" fillId="0" borderId="3" xfId="1" applyFont="1" applyBorder="1"/>
    <xf numFmtId="164" fontId="11" fillId="0" borderId="9" xfId="1" applyNumberFormat="1" applyFont="1" applyBorder="1"/>
    <xf numFmtId="0" fontId="12" fillId="2" borderId="10" xfId="0" applyFont="1" applyFill="1" applyBorder="1"/>
    <xf numFmtId="0" fontId="12" fillId="0" borderId="1" xfId="0" applyFont="1" applyBorder="1" applyAlignment="1">
      <alignment wrapText="1"/>
    </xf>
    <xf numFmtId="0" fontId="12" fillId="0" borderId="7" xfId="0" applyFont="1" applyBorder="1" applyAlignment="1">
      <alignment vertical="center"/>
    </xf>
    <xf numFmtId="14" fontId="12" fillId="0" borderId="1" xfId="0" applyNumberFormat="1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 wrapText="1"/>
    </xf>
    <xf numFmtId="43" fontId="12" fillId="0" borderId="1" xfId="1" applyFont="1" applyBorder="1" applyAlignment="1">
      <alignment vertical="center"/>
    </xf>
    <xf numFmtId="164" fontId="12" fillId="0" borderId="1" xfId="1" applyNumberFormat="1" applyFont="1" applyBorder="1" applyAlignment="1">
      <alignment vertical="center"/>
    </xf>
    <xf numFmtId="164" fontId="12" fillId="0" borderId="8" xfId="1" applyNumberFormat="1" applyFont="1" applyBorder="1" applyAlignment="1">
      <alignment vertical="center"/>
    </xf>
    <xf numFmtId="0" fontId="4" fillId="2" borderId="0" xfId="0" applyFont="1" applyFill="1" applyAlignment="1">
      <alignment vertical="center"/>
    </xf>
    <xf numFmtId="0" fontId="13" fillId="0" borderId="1" xfId="0" applyFont="1" applyBorder="1"/>
    <xf numFmtId="0" fontId="13" fillId="0" borderId="1" xfId="0" applyFont="1" applyBorder="1" applyAlignment="1">
      <alignment vertical="center" wrapText="1"/>
    </xf>
    <xf numFmtId="0" fontId="12" fillId="0" borderId="2" xfId="0" applyFont="1" applyBorder="1"/>
    <xf numFmtId="0" fontId="12" fillId="0" borderId="3" xfId="0" applyFont="1" applyBorder="1"/>
    <xf numFmtId="43" fontId="12" fillId="0" borderId="3" xfId="1" applyFont="1" applyBorder="1"/>
    <xf numFmtId="164" fontId="12" fillId="0" borderId="3" xfId="1" applyNumberFormat="1" applyFont="1" applyBorder="1"/>
    <xf numFmtId="0" fontId="14" fillId="0" borderId="3" xfId="0" applyFont="1" applyBorder="1"/>
    <xf numFmtId="0" fontId="13" fillId="2" borderId="0" xfId="0" applyFont="1" applyFill="1"/>
    <xf numFmtId="0" fontId="13" fillId="0" borderId="1" xfId="0" applyFont="1" applyBorder="1" applyAlignment="1">
      <alignment wrapText="1"/>
    </xf>
    <xf numFmtId="0" fontId="11" fillId="0" borderId="0" xfId="0" applyFont="1"/>
    <xf numFmtId="43" fontId="11" fillId="0" borderId="0" xfId="1" applyFont="1" applyBorder="1"/>
    <xf numFmtId="164" fontId="11" fillId="0" borderId="0" xfId="1" applyNumberFormat="1" applyFont="1" applyBorder="1"/>
    <xf numFmtId="0" fontId="12" fillId="2" borderId="0" xfId="0" applyFont="1" applyFill="1"/>
    <xf numFmtId="49" fontId="12" fillId="2" borderId="0" xfId="0" applyNumberFormat="1" applyFont="1" applyFill="1" applyAlignment="1">
      <alignment horizontal="left"/>
    </xf>
    <xf numFmtId="39" fontId="11" fillId="2" borderId="0" xfId="0" applyNumberFormat="1" applyFont="1" applyFill="1"/>
    <xf numFmtId="0" fontId="15" fillId="3" borderId="0" xfId="0" applyFont="1" applyFill="1"/>
    <xf numFmtId="0" fontId="16" fillId="3" borderId="0" xfId="0" applyFont="1" applyFill="1"/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244"/>
  <sheetViews>
    <sheetView topLeftCell="D2" zoomScaleNormal="100" workbookViewId="0">
      <selection activeCell="J34" sqref="J34"/>
    </sheetView>
  </sheetViews>
  <sheetFormatPr defaultColWidth="9.15234375" defaultRowHeight="12.9"/>
  <cols>
    <col min="1" max="1" width="4.4609375" style="1" bestFit="1" customWidth="1"/>
    <col min="2" max="2" width="7.3046875" style="1" bestFit="1" customWidth="1"/>
    <col min="3" max="3" width="10.84375" style="6" bestFit="1" customWidth="1"/>
    <col min="4" max="4" width="24.3828125" style="1" bestFit="1" customWidth="1"/>
    <col min="5" max="5" width="4.3046875" style="7" bestFit="1" customWidth="1"/>
    <col min="6" max="6" width="4.61328125" style="1" bestFit="1" customWidth="1"/>
    <col min="7" max="7" width="8.07421875" style="1" bestFit="1" customWidth="1"/>
    <col min="8" max="8" width="9" style="1" bestFit="1" customWidth="1"/>
    <col min="9" max="9" width="8.07421875" style="1" bestFit="1" customWidth="1"/>
    <col min="10" max="10" width="9.921875" style="1" bestFit="1" customWidth="1"/>
    <col min="11" max="16384" width="9.15234375" style="1"/>
  </cols>
  <sheetData>
    <row r="1" spans="1:52" ht="28.3" customHeight="1">
      <c r="A1" s="79" t="s">
        <v>17</v>
      </c>
      <c r="B1" s="80"/>
      <c r="C1" s="80"/>
      <c r="D1" s="80"/>
      <c r="E1" s="80"/>
    </row>
    <row r="2" spans="1:52" ht="28.3" customHeight="1">
      <c r="A2" s="80"/>
      <c r="B2" s="80"/>
      <c r="C2" s="80"/>
      <c r="D2" s="80"/>
      <c r="E2" s="80"/>
    </row>
    <row r="3" spans="1:52">
      <c r="A3" s="81" t="s">
        <v>11</v>
      </c>
      <c r="B3" s="81"/>
      <c r="C3" s="81"/>
      <c r="D3" s="81"/>
      <c r="E3" s="81"/>
      <c r="F3" s="81"/>
      <c r="G3" s="81"/>
      <c r="H3" s="81"/>
      <c r="I3" s="81"/>
      <c r="J3" s="81"/>
      <c r="AS3" s="2">
        <v>43921</v>
      </c>
      <c r="AZ3" s="1">
        <f>(AQ3-4)*20000</f>
        <v>-80000</v>
      </c>
    </row>
    <row r="4" spans="1:52" ht="13.3" thickBot="1">
      <c r="A4" s="81"/>
      <c r="B4" s="81"/>
      <c r="C4" s="81"/>
      <c r="D4" s="81"/>
      <c r="E4" s="81"/>
      <c r="F4" s="81"/>
      <c r="G4" s="81"/>
      <c r="H4" s="81"/>
      <c r="I4" s="81"/>
      <c r="J4" s="81"/>
    </row>
    <row r="5" spans="1:52">
      <c r="A5" s="90" t="s">
        <v>0</v>
      </c>
      <c r="B5" s="92" t="s">
        <v>9</v>
      </c>
      <c r="C5" s="96" t="s">
        <v>1</v>
      </c>
      <c r="D5" s="92" t="s">
        <v>10</v>
      </c>
      <c r="E5" s="94" t="s">
        <v>13</v>
      </c>
      <c r="F5" s="94"/>
      <c r="G5" s="94" t="s">
        <v>8</v>
      </c>
      <c r="H5" s="94"/>
      <c r="I5" s="94" t="s">
        <v>7</v>
      </c>
      <c r="J5" s="95"/>
    </row>
    <row r="6" spans="1:52">
      <c r="A6" s="91"/>
      <c r="B6" s="93"/>
      <c r="C6" s="97"/>
      <c r="D6" s="93"/>
      <c r="E6" s="3" t="s">
        <v>2</v>
      </c>
      <c r="F6" s="4" t="s">
        <v>6</v>
      </c>
      <c r="G6" s="4" t="s">
        <v>2</v>
      </c>
      <c r="H6" s="4" t="s">
        <v>6</v>
      </c>
      <c r="I6" s="4" t="s">
        <v>2</v>
      </c>
      <c r="J6" s="8" t="s">
        <v>6</v>
      </c>
    </row>
    <row r="7" spans="1:52">
      <c r="A7" s="17"/>
      <c r="B7" s="18"/>
      <c r="C7" s="18"/>
      <c r="D7" s="18" t="s">
        <v>12</v>
      </c>
      <c r="E7" s="18"/>
      <c r="F7" s="18"/>
      <c r="G7" s="18"/>
      <c r="H7" s="18"/>
      <c r="I7" s="19">
        <v>86818.02</v>
      </c>
      <c r="J7" s="20">
        <v>300000000</v>
      </c>
    </row>
    <row r="8" spans="1:52">
      <c r="A8" s="17"/>
      <c r="B8" s="18"/>
      <c r="C8" s="18"/>
      <c r="D8" s="18" t="s">
        <v>16</v>
      </c>
      <c r="E8" s="18" t="s">
        <v>18</v>
      </c>
      <c r="F8" s="18" t="s">
        <v>18</v>
      </c>
      <c r="G8" s="18"/>
      <c r="H8" s="18"/>
      <c r="I8" s="18"/>
      <c r="J8" s="21"/>
    </row>
    <row r="9" spans="1:52">
      <c r="A9" s="17">
        <v>1</v>
      </c>
      <c r="B9" s="22">
        <v>46023</v>
      </c>
      <c r="C9" s="18" t="s">
        <v>19</v>
      </c>
      <c r="D9" s="18" t="s">
        <v>20</v>
      </c>
      <c r="E9" s="18"/>
      <c r="F9" s="18"/>
      <c r="G9" s="18">
        <v>382.43</v>
      </c>
      <c r="H9" s="18"/>
      <c r="I9" s="18"/>
      <c r="J9" s="21"/>
    </row>
    <row r="10" spans="1:52">
      <c r="A10" s="17">
        <v>2</v>
      </c>
      <c r="B10" s="22">
        <v>46023</v>
      </c>
      <c r="C10" s="18" t="s">
        <v>21</v>
      </c>
      <c r="D10" s="18" t="s">
        <v>22</v>
      </c>
      <c r="E10" s="18"/>
      <c r="F10" s="18"/>
      <c r="G10" s="18">
        <v>215.2</v>
      </c>
      <c r="H10" s="18"/>
      <c r="I10" s="18"/>
      <c r="J10" s="21"/>
      <c r="AX10" s="5" t="s">
        <v>3</v>
      </c>
    </row>
    <row r="11" spans="1:52">
      <c r="A11" s="17">
        <v>3</v>
      </c>
      <c r="B11" s="22">
        <v>46023</v>
      </c>
      <c r="C11" s="18" t="s">
        <v>23</v>
      </c>
      <c r="D11" s="18" t="s">
        <v>24</v>
      </c>
      <c r="E11" s="18"/>
      <c r="F11" s="18"/>
      <c r="G11" s="18">
        <v>600</v>
      </c>
      <c r="H11" s="18"/>
      <c r="I11" s="18"/>
      <c r="J11" s="21"/>
    </row>
    <row r="12" spans="1:52">
      <c r="A12" s="17">
        <v>4</v>
      </c>
      <c r="B12" s="22">
        <v>46023</v>
      </c>
      <c r="C12" s="18" t="s">
        <v>25</v>
      </c>
      <c r="D12" s="18" t="s">
        <v>26</v>
      </c>
      <c r="E12" s="18"/>
      <c r="F12" s="18"/>
      <c r="G12" s="18">
        <v>492.02</v>
      </c>
      <c r="H12" s="18"/>
      <c r="I12" s="18"/>
      <c r="J12" s="21"/>
    </row>
    <row r="13" spans="1:52">
      <c r="A13" s="17">
        <v>5</v>
      </c>
      <c r="B13" s="22">
        <v>46023</v>
      </c>
      <c r="C13" s="18" t="s">
        <v>27</v>
      </c>
      <c r="D13" s="18" t="s">
        <v>28</v>
      </c>
      <c r="E13" s="18"/>
      <c r="F13" s="18"/>
      <c r="G13" s="18">
        <v>600</v>
      </c>
      <c r="H13" s="18"/>
      <c r="I13" s="18"/>
      <c r="J13" s="21"/>
    </row>
    <row r="14" spans="1:52">
      <c r="A14" s="17">
        <v>6</v>
      </c>
      <c r="B14" s="22">
        <v>46023</v>
      </c>
      <c r="C14" s="18" t="s">
        <v>29</v>
      </c>
      <c r="D14" s="18" t="s">
        <v>30</v>
      </c>
      <c r="E14" s="18"/>
      <c r="F14" s="18"/>
      <c r="G14" s="18">
        <v>100</v>
      </c>
      <c r="H14" s="18"/>
      <c r="I14" s="18"/>
      <c r="J14" s="21"/>
    </row>
    <row r="15" spans="1:52">
      <c r="A15" s="17">
        <v>7</v>
      </c>
      <c r="B15" s="22">
        <v>46023</v>
      </c>
      <c r="C15" s="18" t="s">
        <v>31</v>
      </c>
      <c r="D15" s="18" t="s">
        <v>32</v>
      </c>
      <c r="E15" s="18"/>
      <c r="F15" s="18"/>
      <c r="G15" s="19">
        <v>1500</v>
      </c>
      <c r="H15" s="18"/>
      <c r="I15" s="18"/>
      <c r="J15" s="21"/>
    </row>
    <row r="16" spans="1:52">
      <c r="A16" s="17">
        <v>8</v>
      </c>
      <c r="B16" s="22">
        <v>46023</v>
      </c>
      <c r="C16" s="18" t="s">
        <v>33</v>
      </c>
      <c r="D16" s="18" t="s">
        <v>34</v>
      </c>
      <c r="E16" s="18"/>
      <c r="F16" s="18"/>
      <c r="G16" s="18">
        <v>683.25</v>
      </c>
      <c r="H16" s="18"/>
      <c r="I16" s="18"/>
      <c r="J16" s="21"/>
    </row>
    <row r="17" spans="1:10">
      <c r="A17" s="17">
        <v>9</v>
      </c>
      <c r="B17" s="22">
        <v>46023</v>
      </c>
      <c r="C17" s="18" t="s">
        <v>35</v>
      </c>
      <c r="D17" s="18" t="s">
        <v>36</v>
      </c>
      <c r="E17" s="18"/>
      <c r="F17" s="18"/>
      <c r="G17" s="18">
        <v>21.23</v>
      </c>
      <c r="H17" s="18"/>
      <c r="I17" s="18"/>
      <c r="J17" s="21"/>
    </row>
    <row r="18" spans="1:10">
      <c r="A18" s="17">
        <v>10</v>
      </c>
      <c r="B18" s="22">
        <v>46023</v>
      </c>
      <c r="C18" s="18" t="s">
        <v>37</v>
      </c>
      <c r="D18" s="18" t="s">
        <v>36</v>
      </c>
      <c r="E18" s="18"/>
      <c r="F18" s="18"/>
      <c r="G18" s="19">
        <v>1273.93</v>
      </c>
      <c r="H18" s="18"/>
      <c r="I18" s="18"/>
      <c r="J18" s="21"/>
    </row>
    <row r="19" spans="1:10">
      <c r="A19" s="17">
        <v>11</v>
      </c>
      <c r="B19" s="22">
        <v>46023</v>
      </c>
      <c r="C19" s="18" t="s">
        <v>38</v>
      </c>
      <c r="D19" s="18" t="s">
        <v>39</v>
      </c>
      <c r="E19" s="18"/>
      <c r="F19" s="18"/>
      <c r="G19" s="18">
        <v>92.56</v>
      </c>
      <c r="H19" s="18"/>
      <c r="I19" s="18"/>
      <c r="J19" s="21"/>
    </row>
    <row r="20" spans="1:10">
      <c r="A20" s="17">
        <v>12</v>
      </c>
      <c r="B20" s="22">
        <v>46023</v>
      </c>
      <c r="C20" s="18" t="s">
        <v>40</v>
      </c>
      <c r="D20" s="18" t="s">
        <v>41</v>
      </c>
      <c r="E20" s="18"/>
      <c r="F20" s="18"/>
      <c r="G20" s="18">
        <v>200</v>
      </c>
      <c r="H20" s="18"/>
      <c r="I20" s="18"/>
      <c r="J20" s="21"/>
    </row>
    <row r="21" spans="1:10">
      <c r="A21" s="17">
        <v>13</v>
      </c>
      <c r="B21" s="22">
        <v>46023</v>
      </c>
      <c r="C21" s="18" t="s">
        <v>42</v>
      </c>
      <c r="D21" s="18" t="s">
        <v>43</v>
      </c>
      <c r="E21" s="18"/>
      <c r="F21" s="18"/>
      <c r="G21" s="19">
        <v>1000</v>
      </c>
      <c r="H21" s="18"/>
      <c r="I21" s="18"/>
      <c r="J21" s="21"/>
    </row>
    <row r="22" spans="1:10">
      <c r="A22" s="17">
        <v>14</v>
      </c>
      <c r="B22" s="22">
        <v>46023</v>
      </c>
      <c r="C22" s="18" t="s">
        <v>44</v>
      </c>
      <c r="D22" s="18" t="s">
        <v>45</v>
      </c>
      <c r="E22" s="18"/>
      <c r="F22" s="18"/>
      <c r="G22" s="18">
        <v>780.85</v>
      </c>
      <c r="H22" s="18"/>
      <c r="I22" s="18"/>
      <c r="J22" s="21"/>
    </row>
    <row r="23" spans="1:10">
      <c r="A23" s="17">
        <v>15</v>
      </c>
      <c r="B23" s="22">
        <v>46023</v>
      </c>
      <c r="C23" s="18" t="s">
        <v>46</v>
      </c>
      <c r="D23" s="18" t="s">
        <v>47</v>
      </c>
      <c r="E23" s="18"/>
      <c r="F23" s="18"/>
      <c r="G23" s="19">
        <v>1200</v>
      </c>
      <c r="H23" s="18"/>
      <c r="I23" s="18"/>
      <c r="J23" s="21"/>
    </row>
    <row r="24" spans="1:10">
      <c r="A24" s="17">
        <v>16</v>
      </c>
      <c r="B24" s="22">
        <v>46023</v>
      </c>
      <c r="C24" s="18" t="s">
        <v>48</v>
      </c>
      <c r="D24" s="18" t="s">
        <v>49</v>
      </c>
      <c r="E24" s="18"/>
      <c r="F24" s="18"/>
      <c r="G24" s="18">
        <v>76.040000000000006</v>
      </c>
      <c r="H24" s="18"/>
      <c r="I24" s="18"/>
      <c r="J24" s="21"/>
    </row>
    <row r="25" spans="1:10">
      <c r="A25" s="17">
        <v>17</v>
      </c>
      <c r="B25" s="22">
        <v>46023</v>
      </c>
      <c r="C25" s="18" t="s">
        <v>50</v>
      </c>
      <c r="D25" s="18" t="s">
        <v>51</v>
      </c>
      <c r="E25" s="18"/>
      <c r="F25" s="18"/>
      <c r="G25" s="19">
        <v>1543.51</v>
      </c>
      <c r="H25" s="18"/>
      <c r="I25" s="18"/>
      <c r="J25" s="21"/>
    </row>
    <row r="26" spans="1:10">
      <c r="A26" s="17">
        <v>18</v>
      </c>
      <c r="B26" s="22">
        <v>46023</v>
      </c>
      <c r="C26" s="18" t="s">
        <v>52</v>
      </c>
      <c r="D26" s="18" t="s">
        <v>53</v>
      </c>
      <c r="E26" s="18"/>
      <c r="F26" s="18"/>
      <c r="G26" s="18">
        <v>77.02</v>
      </c>
      <c r="H26" s="18"/>
      <c r="I26" s="18"/>
      <c r="J26" s="21"/>
    </row>
    <row r="27" spans="1:10">
      <c r="A27" s="17">
        <v>19</v>
      </c>
      <c r="B27" s="22">
        <v>46023</v>
      </c>
      <c r="C27" s="18" t="s">
        <v>54</v>
      </c>
      <c r="D27" s="18" t="s">
        <v>55</v>
      </c>
      <c r="E27" s="18"/>
      <c r="F27" s="18"/>
      <c r="G27" s="18">
        <v>387.26</v>
      </c>
      <c r="H27" s="18"/>
      <c r="I27" s="18"/>
      <c r="J27" s="21"/>
    </row>
    <row r="28" spans="1:10">
      <c r="A28" s="17">
        <v>20</v>
      </c>
      <c r="B28" s="22">
        <v>46023</v>
      </c>
      <c r="C28" s="18" t="s">
        <v>56</v>
      </c>
      <c r="D28" s="18" t="s">
        <v>57</v>
      </c>
      <c r="E28" s="18"/>
      <c r="F28" s="18"/>
      <c r="G28" s="18">
        <v>300</v>
      </c>
      <c r="H28" s="18"/>
      <c r="I28" s="18"/>
      <c r="J28" s="21"/>
    </row>
    <row r="29" spans="1:10">
      <c r="A29" s="17">
        <v>21</v>
      </c>
      <c r="B29" s="22">
        <v>46023</v>
      </c>
      <c r="C29" s="18" t="s">
        <v>58</v>
      </c>
      <c r="D29" s="18" t="s">
        <v>57</v>
      </c>
      <c r="E29" s="18"/>
      <c r="F29" s="18"/>
      <c r="G29" s="18">
        <v>350</v>
      </c>
      <c r="H29" s="18"/>
      <c r="I29" s="18"/>
      <c r="J29" s="21"/>
    </row>
    <row r="30" spans="1:10">
      <c r="A30" s="17">
        <v>22</v>
      </c>
      <c r="B30" s="22">
        <v>46023</v>
      </c>
      <c r="C30" s="18" t="s">
        <v>59</v>
      </c>
      <c r="D30" s="18" t="s">
        <v>60</v>
      </c>
      <c r="E30" s="18"/>
      <c r="F30" s="18"/>
      <c r="G30" s="18">
        <v>300</v>
      </c>
      <c r="H30" s="18"/>
      <c r="I30" s="18"/>
      <c r="J30" s="21"/>
    </row>
    <row r="31" spans="1:10">
      <c r="A31" s="17">
        <v>23</v>
      </c>
      <c r="B31" s="22">
        <v>46023</v>
      </c>
      <c r="C31" s="18" t="s">
        <v>61</v>
      </c>
      <c r="D31" s="18" t="s">
        <v>62</v>
      </c>
      <c r="E31" s="18"/>
      <c r="F31" s="18"/>
      <c r="G31" s="18">
        <v>207.03</v>
      </c>
      <c r="H31" s="18"/>
      <c r="I31" s="18"/>
      <c r="J31" s="21"/>
    </row>
    <row r="32" spans="1:10">
      <c r="A32" s="17">
        <v>24</v>
      </c>
      <c r="B32" s="22">
        <v>46023</v>
      </c>
      <c r="C32" s="18" t="s">
        <v>63</v>
      </c>
      <c r="D32" s="18" t="s">
        <v>64</v>
      </c>
      <c r="E32" s="18"/>
      <c r="F32" s="18"/>
      <c r="G32" s="18"/>
      <c r="H32" s="23">
        <v>15126000</v>
      </c>
      <c r="I32" s="18"/>
      <c r="J32" s="21"/>
    </row>
    <row r="33" spans="1:10" s="9" customFormat="1" thickBot="1">
      <c r="A33" s="24"/>
      <c r="B33" s="25"/>
      <c r="C33" s="25"/>
      <c r="D33" s="25" t="s">
        <v>4</v>
      </c>
      <c r="E33" s="25"/>
      <c r="F33" s="25"/>
      <c r="G33" s="26">
        <v>12382.33</v>
      </c>
      <c r="H33" s="27">
        <v>15126000</v>
      </c>
      <c r="I33" s="26">
        <v>74435.69</v>
      </c>
      <c r="J33" s="28">
        <f>J7-H33</f>
        <v>284874000</v>
      </c>
    </row>
    <row r="35" spans="1:10">
      <c r="G35" s="10" t="s">
        <v>14</v>
      </c>
    </row>
    <row r="36" spans="1:10">
      <c r="G36" s="11" t="s">
        <v>15</v>
      </c>
    </row>
    <row r="244" spans="52:52">
      <c r="AZ244" s="1" t="s">
        <v>5</v>
      </c>
    </row>
  </sheetData>
  <mergeCells count="9">
    <mergeCell ref="A5:A6"/>
    <mergeCell ref="B5:B6"/>
    <mergeCell ref="A1:E2"/>
    <mergeCell ref="A3:J4"/>
    <mergeCell ref="I5:J5"/>
    <mergeCell ref="E5:F5"/>
    <mergeCell ref="G5:H5"/>
    <mergeCell ref="D5:D6"/>
    <mergeCell ref="C5:C6"/>
  </mergeCells>
  <pageMargins left="0.5" right="0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01E21-6DF1-4DC7-9967-2BEF378BF7B5}">
  <dimension ref="A1:AZ244"/>
  <sheetViews>
    <sheetView topLeftCell="A34" zoomScale="70" zoomScaleNormal="70" workbookViewId="0">
      <selection activeCell="D12" sqref="D12"/>
    </sheetView>
  </sheetViews>
  <sheetFormatPr defaultColWidth="9.15234375" defaultRowHeight="12.9"/>
  <cols>
    <col min="1" max="1" width="4.4609375" style="1" bestFit="1" customWidth="1"/>
    <col min="2" max="2" width="7.3046875" style="1" bestFit="1" customWidth="1"/>
    <col min="3" max="3" width="10.84375" style="6" bestFit="1" customWidth="1"/>
    <col min="4" max="4" width="31.3828125" style="1" bestFit="1" customWidth="1"/>
    <col min="5" max="5" width="4.3046875" style="7" bestFit="1" customWidth="1"/>
    <col min="6" max="6" width="4.61328125" style="1" bestFit="1" customWidth="1"/>
    <col min="7" max="7" width="9.3046875" style="1" bestFit="1" customWidth="1"/>
    <col min="8" max="8" width="4.61328125" style="1" bestFit="1" customWidth="1"/>
    <col min="9" max="9" width="9.3046875" style="1" bestFit="1" customWidth="1"/>
    <col min="10" max="10" width="11.15234375" style="1" bestFit="1" customWidth="1"/>
    <col min="11" max="16384" width="9.15234375" style="1"/>
  </cols>
  <sheetData>
    <row r="1" spans="1:52" ht="28.3" customHeight="1">
      <c r="A1" s="79" t="s">
        <v>17</v>
      </c>
      <c r="B1" s="80"/>
      <c r="C1" s="80"/>
      <c r="D1" s="80"/>
      <c r="E1" s="80"/>
    </row>
    <row r="2" spans="1:52" ht="28.3" customHeight="1">
      <c r="A2" s="80"/>
      <c r="B2" s="80"/>
      <c r="C2" s="80"/>
      <c r="D2" s="80"/>
      <c r="E2" s="80"/>
    </row>
    <row r="3" spans="1:52">
      <c r="A3" s="81" t="s">
        <v>11</v>
      </c>
      <c r="B3" s="81"/>
      <c r="C3" s="81"/>
      <c r="D3" s="81"/>
      <c r="E3" s="81"/>
      <c r="F3" s="81"/>
      <c r="G3" s="81"/>
      <c r="H3" s="81"/>
      <c r="I3" s="81"/>
      <c r="J3" s="81"/>
      <c r="AS3" s="2">
        <v>43921</v>
      </c>
      <c r="AZ3" s="1">
        <f>(AQ3-4)*20000</f>
        <v>-80000</v>
      </c>
    </row>
    <row r="4" spans="1:52" ht="13.3" thickBot="1">
      <c r="A4" s="81"/>
      <c r="B4" s="81"/>
      <c r="C4" s="81"/>
      <c r="D4" s="81"/>
      <c r="E4" s="81"/>
      <c r="F4" s="81"/>
      <c r="G4" s="81"/>
      <c r="H4" s="81"/>
      <c r="I4" s="81"/>
      <c r="J4" s="81"/>
    </row>
    <row r="5" spans="1:52">
      <c r="A5" s="90" t="s">
        <v>0</v>
      </c>
      <c r="B5" s="92" t="s">
        <v>9</v>
      </c>
      <c r="C5" s="96" t="s">
        <v>1</v>
      </c>
      <c r="D5" s="92" t="s">
        <v>10</v>
      </c>
      <c r="E5" s="94" t="s">
        <v>13</v>
      </c>
      <c r="F5" s="94"/>
      <c r="G5" s="94" t="s">
        <v>8</v>
      </c>
      <c r="H5" s="94"/>
      <c r="I5" s="94" t="s">
        <v>7</v>
      </c>
      <c r="J5" s="95"/>
    </row>
    <row r="6" spans="1:52">
      <c r="A6" s="91"/>
      <c r="B6" s="93"/>
      <c r="C6" s="97"/>
      <c r="D6" s="93"/>
      <c r="E6" s="3" t="s">
        <v>2</v>
      </c>
      <c r="F6" s="4" t="s">
        <v>6</v>
      </c>
      <c r="G6" s="4" t="s">
        <v>2</v>
      </c>
      <c r="H6" s="4" t="s">
        <v>6</v>
      </c>
      <c r="I6" s="4" t="s">
        <v>2</v>
      </c>
      <c r="J6" s="8" t="s">
        <v>6</v>
      </c>
    </row>
    <row r="7" spans="1:52">
      <c r="A7" s="18"/>
      <c r="B7" s="18"/>
      <c r="C7" s="18"/>
      <c r="D7" s="18" t="s">
        <v>12</v>
      </c>
      <c r="E7" s="18"/>
      <c r="F7" s="18"/>
      <c r="G7" s="29"/>
      <c r="H7" s="30"/>
      <c r="I7" s="29">
        <v>74435.69</v>
      </c>
      <c r="J7" s="30">
        <v>284874000</v>
      </c>
    </row>
    <row r="8" spans="1:52">
      <c r="A8" s="18"/>
      <c r="B8" s="18"/>
      <c r="C8" s="18"/>
      <c r="D8" s="18" t="s">
        <v>16</v>
      </c>
      <c r="E8" s="18">
        <v>0</v>
      </c>
      <c r="F8" s="18">
        <v>0</v>
      </c>
      <c r="G8" s="29"/>
      <c r="H8" s="30"/>
      <c r="I8" s="29"/>
      <c r="J8" s="30"/>
    </row>
    <row r="9" spans="1:52">
      <c r="A9" s="18">
        <v>1</v>
      </c>
      <c r="B9" s="22">
        <v>46024</v>
      </c>
      <c r="C9" s="18" t="s">
        <v>65</v>
      </c>
      <c r="D9" s="18" t="s">
        <v>66</v>
      </c>
      <c r="E9" s="18"/>
      <c r="F9" s="18"/>
      <c r="G9" s="29">
        <v>1168.26</v>
      </c>
      <c r="H9" s="30"/>
      <c r="I9" s="29"/>
      <c r="J9" s="30"/>
    </row>
    <row r="10" spans="1:52">
      <c r="A10" s="18">
        <v>2</v>
      </c>
      <c r="B10" s="22">
        <v>46024</v>
      </c>
      <c r="C10" s="18" t="s">
        <v>67</v>
      </c>
      <c r="D10" s="18" t="s">
        <v>68</v>
      </c>
      <c r="E10" s="18"/>
      <c r="F10" s="18"/>
      <c r="G10" s="29">
        <v>224.29</v>
      </c>
      <c r="H10" s="30"/>
      <c r="I10" s="29"/>
      <c r="J10" s="30"/>
      <c r="AX10" s="5" t="s">
        <v>3</v>
      </c>
    </row>
    <row r="11" spans="1:52">
      <c r="A11" s="18">
        <v>3</v>
      </c>
      <c r="B11" s="22">
        <v>46024</v>
      </c>
      <c r="C11" s="18" t="s">
        <v>69</v>
      </c>
      <c r="D11" s="18" t="s">
        <v>70</v>
      </c>
      <c r="E11" s="18"/>
      <c r="F11" s="18"/>
      <c r="G11" s="29">
        <v>699.27</v>
      </c>
      <c r="H11" s="30"/>
      <c r="I11" s="29"/>
      <c r="J11" s="30"/>
    </row>
    <row r="12" spans="1:52">
      <c r="A12" s="18">
        <v>4</v>
      </c>
      <c r="B12" s="22">
        <v>46024</v>
      </c>
      <c r="C12" s="18" t="s">
        <v>71</v>
      </c>
      <c r="D12" s="18" t="s">
        <v>72</v>
      </c>
      <c r="E12" s="18"/>
      <c r="F12" s="18"/>
      <c r="G12" s="29">
        <v>550</v>
      </c>
      <c r="H12" s="30"/>
      <c r="I12" s="29"/>
      <c r="J12" s="30"/>
    </row>
    <row r="13" spans="1:52">
      <c r="A13" s="18">
        <v>5</v>
      </c>
      <c r="B13" s="22">
        <v>46024</v>
      </c>
      <c r="C13" s="18" t="s">
        <v>73</v>
      </c>
      <c r="D13" s="18" t="s">
        <v>74</v>
      </c>
      <c r="E13" s="18"/>
      <c r="F13" s="18"/>
      <c r="G13" s="29">
        <v>1967.14</v>
      </c>
      <c r="H13" s="30"/>
      <c r="I13" s="29"/>
      <c r="J13" s="30"/>
    </row>
    <row r="14" spans="1:52">
      <c r="A14" s="18">
        <v>6</v>
      </c>
      <c r="B14" s="22">
        <v>46024</v>
      </c>
      <c r="C14" s="18" t="s">
        <v>75</v>
      </c>
      <c r="D14" s="18" t="s">
        <v>76</v>
      </c>
      <c r="E14" s="18"/>
      <c r="F14" s="18"/>
      <c r="G14" s="29">
        <v>200</v>
      </c>
      <c r="H14" s="30"/>
      <c r="I14" s="29"/>
      <c r="J14" s="30"/>
    </row>
    <row r="15" spans="1:52">
      <c r="A15" s="18">
        <v>7</v>
      </c>
      <c r="B15" s="22">
        <v>46024</v>
      </c>
      <c r="C15" s="18" t="s">
        <v>77</v>
      </c>
      <c r="D15" s="18" t="s">
        <v>78</v>
      </c>
      <c r="E15" s="18"/>
      <c r="F15" s="18"/>
      <c r="G15" s="29">
        <v>77.03</v>
      </c>
      <c r="H15" s="30"/>
      <c r="I15" s="29"/>
      <c r="J15" s="30"/>
    </row>
    <row r="16" spans="1:52">
      <c r="A16" s="18">
        <v>8</v>
      </c>
      <c r="B16" s="22">
        <v>46024</v>
      </c>
      <c r="C16" s="18" t="s">
        <v>79</v>
      </c>
      <c r="D16" s="18" t="s">
        <v>80</v>
      </c>
      <c r="E16" s="18"/>
      <c r="F16" s="18"/>
      <c r="G16" s="29">
        <v>690.44</v>
      </c>
      <c r="H16" s="30"/>
      <c r="I16" s="29"/>
      <c r="J16" s="30"/>
    </row>
    <row r="17" spans="1:10">
      <c r="A17" s="18">
        <v>9</v>
      </c>
      <c r="B17" s="22">
        <v>46024</v>
      </c>
      <c r="C17" s="18" t="s">
        <v>81</v>
      </c>
      <c r="D17" s="18" t="s">
        <v>80</v>
      </c>
      <c r="E17" s="18"/>
      <c r="F17" s="18"/>
      <c r="G17" s="29">
        <v>1309.56</v>
      </c>
      <c r="H17" s="30"/>
      <c r="I17" s="29"/>
      <c r="J17" s="30"/>
    </row>
    <row r="18" spans="1:10">
      <c r="A18" s="18">
        <v>10</v>
      </c>
      <c r="B18" s="22">
        <v>46024</v>
      </c>
      <c r="C18" s="18" t="s">
        <v>82</v>
      </c>
      <c r="D18" s="18" t="s">
        <v>83</v>
      </c>
      <c r="E18" s="18"/>
      <c r="F18" s="18"/>
      <c r="G18" s="29">
        <v>226.57</v>
      </c>
      <c r="H18" s="30"/>
      <c r="I18" s="29"/>
      <c r="J18" s="30"/>
    </row>
    <row r="19" spans="1:10">
      <c r="A19" s="18">
        <v>11</v>
      </c>
      <c r="B19" s="22">
        <v>46024</v>
      </c>
      <c r="C19" s="18" t="s">
        <v>84</v>
      </c>
      <c r="D19" s="18" t="s">
        <v>85</v>
      </c>
      <c r="E19" s="18"/>
      <c r="F19" s="18"/>
      <c r="G19" s="29">
        <v>200</v>
      </c>
      <c r="H19" s="30"/>
      <c r="I19" s="29"/>
      <c r="J19" s="30"/>
    </row>
    <row r="20" spans="1:10">
      <c r="A20" s="18">
        <v>12</v>
      </c>
      <c r="B20" s="22">
        <v>46024</v>
      </c>
      <c r="C20" s="18" t="s">
        <v>86</v>
      </c>
      <c r="D20" s="18" t="s">
        <v>87</v>
      </c>
      <c r="E20" s="18"/>
      <c r="F20" s="18"/>
      <c r="G20" s="29">
        <v>261.45999999999998</v>
      </c>
      <c r="H20" s="30"/>
      <c r="I20" s="29"/>
      <c r="J20" s="30"/>
    </row>
    <row r="21" spans="1:10">
      <c r="A21" s="18">
        <v>13</v>
      </c>
      <c r="B21" s="22">
        <v>46024</v>
      </c>
      <c r="C21" s="18" t="s">
        <v>88</v>
      </c>
      <c r="D21" s="18" t="s">
        <v>87</v>
      </c>
      <c r="E21" s="18"/>
      <c r="F21" s="18"/>
      <c r="G21" s="29">
        <v>65.36</v>
      </c>
      <c r="H21" s="30"/>
      <c r="I21" s="29"/>
      <c r="J21" s="30"/>
    </row>
    <row r="22" spans="1:10">
      <c r="A22" s="18">
        <v>14</v>
      </c>
      <c r="B22" s="22">
        <v>46024</v>
      </c>
      <c r="C22" s="18" t="s">
        <v>89</v>
      </c>
      <c r="D22" s="18" t="s">
        <v>90</v>
      </c>
      <c r="E22" s="18"/>
      <c r="F22" s="18"/>
      <c r="G22" s="29">
        <v>550</v>
      </c>
      <c r="H22" s="30"/>
      <c r="I22" s="29"/>
      <c r="J22" s="30"/>
    </row>
    <row r="23" spans="1:10">
      <c r="A23" s="18">
        <v>15</v>
      </c>
      <c r="B23" s="22">
        <v>46024</v>
      </c>
      <c r="C23" s="18" t="s">
        <v>91</v>
      </c>
      <c r="D23" s="18" t="s">
        <v>92</v>
      </c>
      <c r="E23" s="18"/>
      <c r="F23" s="18"/>
      <c r="G23" s="29">
        <v>640</v>
      </c>
      <c r="H23" s="30"/>
      <c r="I23" s="29"/>
      <c r="J23" s="30"/>
    </row>
    <row r="24" spans="1:10">
      <c r="A24" s="18">
        <v>16</v>
      </c>
      <c r="B24" s="22">
        <v>46024</v>
      </c>
      <c r="C24" s="18" t="s">
        <v>93</v>
      </c>
      <c r="D24" s="18" t="s">
        <v>94</v>
      </c>
      <c r="E24" s="18"/>
      <c r="F24" s="18"/>
      <c r="G24" s="29">
        <v>761.98</v>
      </c>
      <c r="H24" s="30"/>
      <c r="I24" s="29"/>
      <c r="J24" s="30"/>
    </row>
    <row r="25" spans="1:10">
      <c r="A25" s="18">
        <v>17</v>
      </c>
      <c r="B25" s="22">
        <v>46024</v>
      </c>
      <c r="C25" s="18" t="s">
        <v>95</v>
      </c>
      <c r="D25" s="18" t="s">
        <v>96</v>
      </c>
      <c r="E25" s="18"/>
      <c r="F25" s="18"/>
      <c r="G25" s="29">
        <v>764.85</v>
      </c>
      <c r="H25" s="30"/>
      <c r="I25" s="29"/>
      <c r="J25" s="30"/>
    </row>
    <row r="26" spans="1:10">
      <c r="A26" s="18">
        <v>18</v>
      </c>
      <c r="B26" s="22">
        <v>46024</v>
      </c>
      <c r="C26" s="18" t="s">
        <v>97</v>
      </c>
      <c r="D26" s="18" t="s">
        <v>98</v>
      </c>
      <c r="E26" s="18"/>
      <c r="F26" s="18"/>
      <c r="G26" s="29">
        <v>301.07</v>
      </c>
      <c r="H26" s="30"/>
      <c r="I26" s="29"/>
      <c r="J26" s="30"/>
    </row>
    <row r="27" spans="1:10">
      <c r="A27" s="18">
        <v>19</v>
      </c>
      <c r="B27" s="22">
        <v>46024</v>
      </c>
      <c r="C27" s="18" t="s">
        <v>99</v>
      </c>
      <c r="D27" s="18" t="s">
        <v>100</v>
      </c>
      <c r="E27" s="18"/>
      <c r="F27" s="18"/>
      <c r="G27" s="29">
        <v>200</v>
      </c>
      <c r="H27" s="30"/>
      <c r="I27" s="29"/>
      <c r="J27" s="30"/>
    </row>
    <row r="28" spans="1:10">
      <c r="A28" s="18">
        <v>20</v>
      </c>
      <c r="B28" s="22">
        <v>46024</v>
      </c>
      <c r="C28" s="18" t="s">
        <v>101</v>
      </c>
      <c r="D28" s="18" t="s">
        <v>102</v>
      </c>
      <c r="E28" s="18"/>
      <c r="F28" s="18"/>
      <c r="G28" s="29">
        <v>653.65</v>
      </c>
      <c r="H28" s="30"/>
      <c r="I28" s="29"/>
      <c r="J28" s="30"/>
    </row>
    <row r="29" spans="1:10">
      <c r="A29" s="18">
        <v>21</v>
      </c>
      <c r="B29" s="22">
        <v>46024</v>
      </c>
      <c r="C29" s="18" t="s">
        <v>103</v>
      </c>
      <c r="D29" s="18" t="s">
        <v>104</v>
      </c>
      <c r="E29" s="18"/>
      <c r="F29" s="18"/>
      <c r="G29" s="29">
        <v>3430</v>
      </c>
      <c r="H29" s="30"/>
      <c r="I29" s="29"/>
      <c r="J29" s="30"/>
    </row>
    <row r="30" spans="1:10">
      <c r="A30" s="18">
        <v>22</v>
      </c>
      <c r="B30" s="22">
        <v>46024</v>
      </c>
      <c r="C30" s="18" t="s">
        <v>105</v>
      </c>
      <c r="D30" s="18" t="s">
        <v>106</v>
      </c>
      <c r="E30" s="18"/>
      <c r="F30" s="18"/>
      <c r="G30" s="29">
        <v>1600</v>
      </c>
      <c r="H30" s="30"/>
      <c r="I30" s="29"/>
      <c r="J30" s="30"/>
    </row>
    <row r="31" spans="1:10">
      <c r="A31" s="18">
        <v>23</v>
      </c>
      <c r="B31" s="22">
        <v>46024</v>
      </c>
      <c r="C31" s="18" t="s">
        <v>107</v>
      </c>
      <c r="D31" s="18" t="s">
        <v>108</v>
      </c>
      <c r="E31" s="18"/>
      <c r="F31" s="18"/>
      <c r="G31" s="29">
        <v>120</v>
      </c>
      <c r="H31" s="30"/>
      <c r="I31" s="29"/>
      <c r="J31" s="30"/>
    </row>
    <row r="32" spans="1:10">
      <c r="A32" s="18">
        <v>24</v>
      </c>
      <c r="B32" s="22">
        <v>46024</v>
      </c>
      <c r="C32" s="18" t="s">
        <v>109</v>
      </c>
      <c r="D32" s="18" t="s">
        <v>110</v>
      </c>
      <c r="E32" s="18"/>
      <c r="F32" s="18"/>
      <c r="G32" s="29">
        <v>986.55</v>
      </c>
      <c r="H32" s="30"/>
      <c r="I32" s="29"/>
      <c r="J32" s="30"/>
    </row>
    <row r="33" spans="1:10">
      <c r="A33" s="18">
        <v>25</v>
      </c>
      <c r="B33" s="22">
        <v>46024</v>
      </c>
      <c r="C33" s="18" t="s">
        <v>111</v>
      </c>
      <c r="D33" s="18" t="s">
        <v>112</v>
      </c>
      <c r="E33" s="18"/>
      <c r="F33" s="18"/>
      <c r="G33" s="29">
        <v>114.13</v>
      </c>
      <c r="H33" s="30"/>
      <c r="I33" s="29"/>
      <c r="J33" s="30"/>
    </row>
    <row r="34" spans="1:10">
      <c r="A34" s="18">
        <v>26</v>
      </c>
      <c r="B34" s="22">
        <v>46024</v>
      </c>
      <c r="C34" s="18" t="s">
        <v>113</v>
      </c>
      <c r="D34" s="18" t="s">
        <v>114</v>
      </c>
      <c r="E34" s="18"/>
      <c r="F34" s="18"/>
      <c r="G34" s="29">
        <v>273.70999999999998</v>
      </c>
      <c r="H34" s="30"/>
      <c r="I34" s="29"/>
      <c r="J34" s="30"/>
    </row>
    <row r="35" spans="1:10">
      <c r="A35" s="18">
        <v>27</v>
      </c>
      <c r="B35" s="22">
        <v>46024</v>
      </c>
      <c r="C35" s="18" t="s">
        <v>115</v>
      </c>
      <c r="D35" s="18" t="s">
        <v>104</v>
      </c>
      <c r="E35" s="18"/>
      <c r="F35" s="18"/>
      <c r="G35" s="29">
        <v>3410</v>
      </c>
      <c r="H35" s="30"/>
      <c r="I35" s="29"/>
      <c r="J35" s="30"/>
    </row>
    <row r="36" spans="1:10">
      <c r="A36" s="18">
        <v>28</v>
      </c>
      <c r="B36" s="22">
        <v>46024</v>
      </c>
      <c r="C36" s="18" t="s">
        <v>116</v>
      </c>
      <c r="D36" s="18" t="s">
        <v>117</v>
      </c>
      <c r="E36" s="18"/>
      <c r="F36" s="18"/>
      <c r="G36" s="29">
        <v>1200</v>
      </c>
      <c r="H36" s="30"/>
      <c r="I36" s="29"/>
      <c r="J36" s="30"/>
    </row>
    <row r="37" spans="1:10">
      <c r="A37" s="18">
        <v>29</v>
      </c>
      <c r="B37" s="22">
        <v>46024</v>
      </c>
      <c r="C37" s="18" t="s">
        <v>118</v>
      </c>
      <c r="D37" s="18" t="s">
        <v>119</v>
      </c>
      <c r="E37" s="18"/>
      <c r="F37" s="18"/>
      <c r="G37" s="29">
        <v>300</v>
      </c>
      <c r="H37" s="30"/>
      <c r="I37" s="29"/>
      <c r="J37" s="30"/>
    </row>
    <row r="38" spans="1:10">
      <c r="A38" s="18">
        <v>30</v>
      </c>
      <c r="B38" s="22">
        <v>46024</v>
      </c>
      <c r="C38" s="18" t="s">
        <v>120</v>
      </c>
      <c r="D38" s="18" t="s">
        <v>121</v>
      </c>
      <c r="E38" s="18"/>
      <c r="F38" s="18"/>
      <c r="G38" s="29">
        <v>1149.1500000000001</v>
      </c>
      <c r="H38" s="30"/>
      <c r="I38" s="29"/>
      <c r="J38" s="30"/>
    </row>
    <row r="39" spans="1:10">
      <c r="A39" s="18">
        <v>31</v>
      </c>
      <c r="B39" s="22">
        <v>46024</v>
      </c>
      <c r="C39" s="18" t="s">
        <v>122</v>
      </c>
      <c r="D39" s="18" t="s">
        <v>123</v>
      </c>
      <c r="E39" s="18"/>
      <c r="F39" s="18"/>
      <c r="G39" s="29">
        <v>100</v>
      </c>
      <c r="H39" s="30"/>
      <c r="I39" s="29"/>
      <c r="J39" s="30"/>
    </row>
    <row r="40" spans="1:10">
      <c r="A40" s="18">
        <v>32</v>
      </c>
      <c r="B40" s="22">
        <v>46024</v>
      </c>
      <c r="C40" s="18" t="s">
        <v>124</v>
      </c>
      <c r="D40" s="18" t="s">
        <v>125</v>
      </c>
      <c r="E40" s="18"/>
      <c r="F40" s="18"/>
      <c r="G40" s="29">
        <v>109.19</v>
      </c>
      <c r="H40" s="30"/>
      <c r="I40" s="29"/>
      <c r="J40" s="30"/>
    </row>
    <row r="41" spans="1:10">
      <c r="A41" s="18">
        <v>33</v>
      </c>
      <c r="B41" s="22">
        <v>46024</v>
      </c>
      <c r="C41" s="18" t="s">
        <v>126</v>
      </c>
      <c r="D41" s="18" t="s">
        <v>127</v>
      </c>
      <c r="E41" s="18"/>
      <c r="F41" s="18"/>
      <c r="G41" s="29">
        <v>115.51</v>
      </c>
      <c r="H41" s="30"/>
      <c r="I41" s="29"/>
      <c r="J41" s="30"/>
    </row>
    <row r="42" spans="1:10">
      <c r="A42" s="18">
        <v>34</v>
      </c>
      <c r="B42" s="22">
        <v>46024</v>
      </c>
      <c r="C42" s="18" t="s">
        <v>128</v>
      </c>
      <c r="D42" s="18" t="s">
        <v>129</v>
      </c>
      <c r="E42" s="18"/>
      <c r="F42" s="18"/>
      <c r="G42" s="29">
        <v>383.22</v>
      </c>
      <c r="H42" s="30"/>
      <c r="I42" s="29"/>
      <c r="J42" s="30"/>
    </row>
    <row r="43" spans="1:10">
      <c r="A43" s="18">
        <v>35</v>
      </c>
      <c r="B43" s="22">
        <v>46024</v>
      </c>
      <c r="C43" s="18" t="s">
        <v>130</v>
      </c>
      <c r="D43" s="18" t="s">
        <v>131</v>
      </c>
      <c r="E43" s="18"/>
      <c r="F43" s="18"/>
      <c r="G43" s="29">
        <v>1059.49</v>
      </c>
      <c r="H43" s="30"/>
      <c r="I43" s="29"/>
      <c r="J43" s="30"/>
    </row>
    <row r="44" spans="1:10" s="9" customFormat="1" ht="12.45">
      <c r="A44" s="31"/>
      <c r="B44" s="31"/>
      <c r="C44" s="31"/>
      <c r="D44" s="31" t="s">
        <v>4</v>
      </c>
      <c r="E44" s="31"/>
      <c r="F44" s="31"/>
      <c r="G44" s="32">
        <v>25861.88</v>
      </c>
      <c r="H44" s="33">
        <v>0</v>
      </c>
      <c r="I44" s="32">
        <v>48573.81</v>
      </c>
      <c r="J44" s="33">
        <v>284874000</v>
      </c>
    </row>
    <row r="46" spans="1:10">
      <c r="H46" s="10" t="s">
        <v>14</v>
      </c>
    </row>
    <row r="47" spans="1:10">
      <c r="H47" s="11" t="s">
        <v>15</v>
      </c>
    </row>
    <row r="244" spans="52:52">
      <c r="AZ244" s="1" t="s">
        <v>5</v>
      </c>
    </row>
  </sheetData>
  <mergeCells count="9">
    <mergeCell ref="A1:E2"/>
    <mergeCell ref="A3:J4"/>
    <mergeCell ref="A5:A6"/>
    <mergeCell ref="B5:B6"/>
    <mergeCell ref="C5:C6"/>
    <mergeCell ref="D5:D6"/>
    <mergeCell ref="E5:F5"/>
    <mergeCell ref="G5:H5"/>
    <mergeCell ref="I5:J5"/>
  </mergeCells>
  <pageMargins left="0.5" right="0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DF667-41F3-47BC-BB99-465FCB4B7E50}">
  <dimension ref="A1:AZ241"/>
  <sheetViews>
    <sheetView topLeftCell="A16" zoomScale="70" zoomScaleNormal="70" workbookViewId="0">
      <selection activeCell="J42" sqref="J42"/>
    </sheetView>
  </sheetViews>
  <sheetFormatPr defaultColWidth="9.15234375" defaultRowHeight="12.9"/>
  <cols>
    <col min="1" max="1" width="2.4609375" style="1" bestFit="1" customWidth="1"/>
    <col min="2" max="2" width="7.3046875" style="1" bestFit="1" customWidth="1"/>
    <col min="3" max="3" width="10.84375" style="6" bestFit="1" customWidth="1"/>
    <col min="4" max="4" width="31.3828125" style="1" bestFit="1" customWidth="1"/>
    <col min="5" max="5" width="4.3828125" style="7" customWidth="1"/>
    <col min="6" max="6" width="4.3828125" style="1" customWidth="1"/>
    <col min="7" max="7" width="9.3046875" style="1" bestFit="1" customWidth="1"/>
    <col min="8" max="8" width="10.23046875" style="1" bestFit="1" customWidth="1"/>
    <col min="9" max="9" width="9.3046875" style="1" bestFit="1" customWidth="1"/>
    <col min="10" max="10" width="11.15234375" style="1" bestFit="1" customWidth="1"/>
    <col min="11" max="16384" width="9.15234375" style="1"/>
  </cols>
  <sheetData>
    <row r="1" spans="1:52" ht="28.3" customHeight="1">
      <c r="A1" s="79" t="s">
        <v>17</v>
      </c>
      <c r="B1" s="80"/>
      <c r="C1" s="80"/>
      <c r="D1" s="80"/>
      <c r="E1" s="80"/>
    </row>
    <row r="2" spans="1:52" ht="28.3" customHeight="1">
      <c r="A2" s="80"/>
      <c r="B2" s="80"/>
      <c r="C2" s="80"/>
      <c r="D2" s="80"/>
      <c r="E2" s="80"/>
    </row>
    <row r="3" spans="1:52">
      <c r="A3" s="81" t="s">
        <v>11</v>
      </c>
      <c r="B3" s="81"/>
      <c r="C3" s="81"/>
      <c r="D3" s="81"/>
      <c r="E3" s="81"/>
      <c r="F3" s="81"/>
      <c r="G3" s="81"/>
      <c r="H3" s="81"/>
      <c r="I3" s="81"/>
      <c r="J3" s="81"/>
      <c r="AS3" s="2">
        <v>43921</v>
      </c>
      <c r="AZ3" s="1">
        <f>(AQ3-4)*20000</f>
        <v>-80000</v>
      </c>
    </row>
    <row r="4" spans="1:52" ht="13.3" thickBot="1">
      <c r="A4" s="81"/>
      <c r="B4" s="81"/>
      <c r="C4" s="81"/>
      <c r="D4" s="81"/>
      <c r="E4" s="81"/>
      <c r="F4" s="81"/>
      <c r="G4" s="81"/>
      <c r="H4" s="81"/>
      <c r="I4" s="81"/>
      <c r="J4" s="81"/>
    </row>
    <row r="5" spans="1:52">
      <c r="A5" s="90" t="s">
        <v>0</v>
      </c>
      <c r="B5" s="92" t="s">
        <v>9</v>
      </c>
      <c r="C5" s="96" t="s">
        <v>1</v>
      </c>
      <c r="D5" s="92" t="s">
        <v>10</v>
      </c>
      <c r="E5" s="94" t="s">
        <v>13</v>
      </c>
      <c r="F5" s="94"/>
      <c r="G5" s="94" t="s">
        <v>8</v>
      </c>
      <c r="H5" s="94"/>
      <c r="I5" s="94" t="s">
        <v>7</v>
      </c>
      <c r="J5" s="95"/>
    </row>
    <row r="6" spans="1:52">
      <c r="A6" s="91"/>
      <c r="B6" s="93"/>
      <c r="C6" s="97"/>
      <c r="D6" s="93"/>
      <c r="E6" s="3" t="s">
        <v>2</v>
      </c>
      <c r="F6" s="4" t="s">
        <v>6</v>
      </c>
      <c r="G6" s="4" t="s">
        <v>2</v>
      </c>
      <c r="H6" s="4" t="s">
        <v>6</v>
      </c>
      <c r="I6" s="4" t="s">
        <v>2</v>
      </c>
      <c r="J6" s="8" t="s">
        <v>6</v>
      </c>
    </row>
    <row r="7" spans="1:52">
      <c r="A7" s="17"/>
      <c r="B7" s="18"/>
      <c r="C7" s="18"/>
      <c r="D7" s="18" t="s">
        <v>12</v>
      </c>
      <c r="E7" s="18"/>
      <c r="F7" s="18"/>
      <c r="G7" s="29"/>
      <c r="H7" s="30"/>
      <c r="I7" s="29">
        <v>48573.81</v>
      </c>
      <c r="J7" s="34">
        <v>284874000</v>
      </c>
    </row>
    <row r="8" spans="1:52">
      <c r="A8" s="17"/>
      <c r="B8" s="18"/>
      <c r="C8" s="18"/>
      <c r="D8" s="18" t="s">
        <v>16</v>
      </c>
      <c r="E8" s="18">
        <v>0</v>
      </c>
      <c r="F8" s="18">
        <v>0</v>
      </c>
      <c r="G8" s="29"/>
      <c r="H8" s="30"/>
      <c r="I8" s="29"/>
      <c r="J8" s="34"/>
    </row>
    <row r="9" spans="1:52">
      <c r="A9" s="17">
        <v>1</v>
      </c>
      <c r="B9" s="22">
        <v>46025</v>
      </c>
      <c r="C9" s="18" t="s">
        <v>132</v>
      </c>
      <c r="D9" s="18" t="s">
        <v>133</v>
      </c>
      <c r="E9" s="18"/>
      <c r="F9" s="18"/>
      <c r="G9" s="29">
        <v>768.52</v>
      </c>
      <c r="H9" s="30"/>
      <c r="I9" s="29"/>
      <c r="J9" s="34"/>
    </row>
    <row r="10" spans="1:52">
      <c r="A10" s="17">
        <v>2</v>
      </c>
      <c r="B10" s="22">
        <v>46025</v>
      </c>
      <c r="C10" s="18" t="s">
        <v>134</v>
      </c>
      <c r="D10" s="18" t="s">
        <v>133</v>
      </c>
      <c r="E10" s="18"/>
      <c r="F10" s="18"/>
      <c r="G10" s="29">
        <v>576.39</v>
      </c>
      <c r="H10" s="30"/>
      <c r="I10" s="29"/>
      <c r="J10" s="34"/>
      <c r="AX10" s="5" t="s">
        <v>3</v>
      </c>
    </row>
    <row r="11" spans="1:52">
      <c r="A11" s="17">
        <v>3</v>
      </c>
      <c r="B11" s="22">
        <v>46025</v>
      </c>
      <c r="C11" s="18" t="s">
        <v>135</v>
      </c>
      <c r="D11" s="18" t="s">
        <v>136</v>
      </c>
      <c r="E11" s="18"/>
      <c r="F11" s="18"/>
      <c r="G11" s="29">
        <v>4950</v>
      </c>
      <c r="H11" s="30"/>
      <c r="I11" s="29"/>
      <c r="J11" s="34"/>
    </row>
    <row r="12" spans="1:52">
      <c r="A12" s="17">
        <v>4</v>
      </c>
      <c r="B12" s="22">
        <v>46025</v>
      </c>
      <c r="C12" s="18" t="s">
        <v>137</v>
      </c>
      <c r="D12" s="18" t="s">
        <v>136</v>
      </c>
      <c r="E12" s="18"/>
      <c r="F12" s="18"/>
      <c r="G12" s="29">
        <v>4930</v>
      </c>
      <c r="H12" s="30"/>
      <c r="I12" s="29"/>
      <c r="J12" s="34"/>
    </row>
    <row r="13" spans="1:52">
      <c r="A13" s="17">
        <v>5</v>
      </c>
      <c r="B13" s="22">
        <v>46025</v>
      </c>
      <c r="C13" s="18" t="s">
        <v>138</v>
      </c>
      <c r="D13" s="18" t="s">
        <v>139</v>
      </c>
      <c r="E13" s="18"/>
      <c r="F13" s="18"/>
      <c r="G13" s="29">
        <v>600</v>
      </c>
      <c r="H13" s="30"/>
      <c r="I13" s="29"/>
      <c r="J13" s="34"/>
    </row>
    <row r="14" spans="1:52">
      <c r="A14" s="17">
        <v>6</v>
      </c>
      <c r="B14" s="22">
        <v>46025</v>
      </c>
      <c r="C14" s="18" t="s">
        <v>140</v>
      </c>
      <c r="D14" s="18" t="s">
        <v>141</v>
      </c>
      <c r="E14" s="18"/>
      <c r="F14" s="18"/>
      <c r="G14" s="29">
        <v>64.87</v>
      </c>
      <c r="H14" s="30"/>
      <c r="I14" s="29"/>
      <c r="J14" s="34"/>
    </row>
    <row r="15" spans="1:52">
      <c r="A15" s="17">
        <v>7</v>
      </c>
      <c r="B15" s="22">
        <v>46025</v>
      </c>
      <c r="C15" s="18" t="s">
        <v>142</v>
      </c>
      <c r="D15" s="18" t="s">
        <v>143</v>
      </c>
      <c r="E15" s="18"/>
      <c r="F15" s="18"/>
      <c r="G15" s="29">
        <v>183.14</v>
      </c>
      <c r="H15" s="30"/>
      <c r="I15" s="29"/>
      <c r="J15" s="34"/>
    </row>
    <row r="16" spans="1:52">
      <c r="A16" s="17">
        <v>8</v>
      </c>
      <c r="B16" s="22">
        <v>46025</v>
      </c>
      <c r="C16" s="18" t="s">
        <v>144</v>
      </c>
      <c r="D16" s="18" t="s">
        <v>145</v>
      </c>
      <c r="E16" s="18"/>
      <c r="F16" s="18"/>
      <c r="G16" s="29">
        <v>190.74</v>
      </c>
      <c r="H16" s="30"/>
      <c r="I16" s="29"/>
      <c r="J16" s="34"/>
    </row>
    <row r="17" spans="1:10">
      <c r="A17" s="17">
        <v>9</v>
      </c>
      <c r="B17" s="22">
        <v>46025</v>
      </c>
      <c r="C17" s="18" t="s">
        <v>146</v>
      </c>
      <c r="D17" s="18" t="s">
        <v>147</v>
      </c>
      <c r="E17" s="18"/>
      <c r="F17" s="18"/>
      <c r="G17" s="29">
        <v>1000</v>
      </c>
      <c r="H17" s="30"/>
      <c r="I17" s="29"/>
      <c r="J17" s="34"/>
    </row>
    <row r="18" spans="1:10">
      <c r="A18" s="17">
        <v>10</v>
      </c>
      <c r="B18" s="22">
        <v>46025</v>
      </c>
      <c r="C18" s="18" t="s">
        <v>148</v>
      </c>
      <c r="D18" s="18" t="s">
        <v>149</v>
      </c>
      <c r="E18" s="18"/>
      <c r="F18" s="18"/>
      <c r="G18" s="29">
        <v>400</v>
      </c>
      <c r="H18" s="30"/>
      <c r="I18" s="29"/>
      <c r="J18" s="34"/>
    </row>
    <row r="19" spans="1:10">
      <c r="A19" s="17">
        <v>11</v>
      </c>
      <c r="B19" s="22">
        <v>46025</v>
      </c>
      <c r="C19" s="18" t="s">
        <v>150</v>
      </c>
      <c r="D19" s="18" t="s">
        <v>151</v>
      </c>
      <c r="E19" s="18"/>
      <c r="F19" s="18"/>
      <c r="G19" s="29">
        <v>100</v>
      </c>
      <c r="H19" s="30"/>
      <c r="I19" s="29"/>
      <c r="J19" s="34"/>
    </row>
    <row r="20" spans="1:10">
      <c r="A20" s="17">
        <v>12</v>
      </c>
      <c r="B20" s="22">
        <v>46025</v>
      </c>
      <c r="C20" s="18" t="s">
        <v>152</v>
      </c>
      <c r="D20" s="18" t="s">
        <v>153</v>
      </c>
      <c r="E20" s="18"/>
      <c r="F20" s="18"/>
      <c r="G20" s="29">
        <v>650</v>
      </c>
      <c r="H20" s="30"/>
      <c r="I20" s="29"/>
      <c r="J20" s="34"/>
    </row>
    <row r="21" spans="1:10">
      <c r="A21" s="17">
        <v>13</v>
      </c>
      <c r="B21" s="22">
        <v>46025</v>
      </c>
      <c r="C21" s="18" t="s">
        <v>154</v>
      </c>
      <c r="D21" s="18" t="s">
        <v>155</v>
      </c>
      <c r="E21" s="18"/>
      <c r="F21" s="18"/>
      <c r="G21" s="29">
        <v>150</v>
      </c>
      <c r="H21" s="30"/>
      <c r="I21" s="29"/>
      <c r="J21" s="34"/>
    </row>
    <row r="22" spans="1:10">
      <c r="A22" s="17">
        <v>14</v>
      </c>
      <c r="B22" s="22">
        <v>46025</v>
      </c>
      <c r="C22" s="18" t="s">
        <v>156</v>
      </c>
      <c r="D22" s="18" t="s">
        <v>45</v>
      </c>
      <c r="E22" s="18"/>
      <c r="F22" s="18"/>
      <c r="G22" s="29">
        <v>636.54</v>
      </c>
      <c r="H22" s="30"/>
      <c r="I22" s="29"/>
      <c r="J22" s="34"/>
    </row>
    <row r="23" spans="1:10">
      <c r="A23" s="17">
        <v>15</v>
      </c>
      <c r="B23" s="22">
        <v>46025</v>
      </c>
      <c r="C23" s="18" t="s">
        <v>157</v>
      </c>
      <c r="D23" s="18" t="s">
        <v>158</v>
      </c>
      <c r="E23" s="18"/>
      <c r="F23" s="18"/>
      <c r="G23" s="29">
        <v>50</v>
      </c>
      <c r="H23" s="30"/>
      <c r="I23" s="29"/>
      <c r="J23" s="34"/>
    </row>
    <row r="24" spans="1:10">
      <c r="A24" s="17">
        <v>16</v>
      </c>
      <c r="B24" s="22">
        <v>46025</v>
      </c>
      <c r="C24" s="18" t="s">
        <v>159</v>
      </c>
      <c r="D24" s="18" t="s">
        <v>160</v>
      </c>
      <c r="E24" s="18"/>
      <c r="F24" s="18"/>
      <c r="G24" s="29">
        <v>80</v>
      </c>
      <c r="H24" s="30"/>
      <c r="I24" s="29"/>
      <c r="J24" s="34"/>
    </row>
    <row r="25" spans="1:10">
      <c r="A25" s="17">
        <v>17</v>
      </c>
      <c r="B25" s="22">
        <v>46025</v>
      </c>
      <c r="C25" s="18" t="s">
        <v>161</v>
      </c>
      <c r="D25" s="18" t="s">
        <v>162</v>
      </c>
      <c r="E25" s="18"/>
      <c r="F25" s="18"/>
      <c r="G25" s="29">
        <v>441.82</v>
      </c>
      <c r="H25" s="30"/>
      <c r="I25" s="29"/>
      <c r="J25" s="34"/>
    </row>
    <row r="26" spans="1:10">
      <c r="A26" s="17">
        <v>18</v>
      </c>
      <c r="B26" s="22">
        <v>46025</v>
      </c>
      <c r="C26" s="18" t="s">
        <v>163</v>
      </c>
      <c r="D26" s="18" t="s">
        <v>164</v>
      </c>
      <c r="E26" s="18"/>
      <c r="F26" s="18"/>
      <c r="G26" s="29">
        <v>200</v>
      </c>
      <c r="H26" s="30"/>
      <c r="I26" s="29"/>
      <c r="J26" s="34"/>
    </row>
    <row r="27" spans="1:10">
      <c r="A27" s="17">
        <v>19</v>
      </c>
      <c r="B27" s="22">
        <v>46025</v>
      </c>
      <c r="C27" s="18" t="s">
        <v>165</v>
      </c>
      <c r="D27" s="18" t="s">
        <v>164</v>
      </c>
      <c r="E27" s="18"/>
      <c r="F27" s="18"/>
      <c r="G27" s="29">
        <v>1000</v>
      </c>
      <c r="H27" s="30"/>
      <c r="I27" s="29"/>
      <c r="J27" s="34"/>
    </row>
    <row r="28" spans="1:10">
      <c r="A28" s="17">
        <v>20</v>
      </c>
      <c r="B28" s="22">
        <v>46025</v>
      </c>
      <c r="C28" s="18" t="s">
        <v>166</v>
      </c>
      <c r="D28" s="18" t="s">
        <v>167</v>
      </c>
      <c r="E28" s="18"/>
      <c r="F28" s="18"/>
      <c r="G28" s="29">
        <v>190</v>
      </c>
      <c r="H28" s="30"/>
      <c r="I28" s="29"/>
      <c r="J28" s="34"/>
    </row>
    <row r="29" spans="1:10">
      <c r="A29" s="17">
        <v>21</v>
      </c>
      <c r="B29" s="22">
        <v>46025</v>
      </c>
      <c r="C29" s="18" t="s">
        <v>168</v>
      </c>
      <c r="D29" s="18" t="s">
        <v>169</v>
      </c>
      <c r="E29" s="18"/>
      <c r="F29" s="18"/>
      <c r="G29" s="29">
        <v>54.07</v>
      </c>
      <c r="H29" s="30"/>
      <c r="I29" s="29"/>
      <c r="J29" s="34"/>
    </row>
    <row r="30" spans="1:10">
      <c r="A30" s="17">
        <v>22</v>
      </c>
      <c r="B30" s="22">
        <v>46025</v>
      </c>
      <c r="C30" s="18" t="s">
        <v>170</v>
      </c>
      <c r="D30" s="18" t="s">
        <v>171</v>
      </c>
      <c r="E30" s="18"/>
      <c r="F30" s="18"/>
      <c r="G30" s="29">
        <v>700</v>
      </c>
      <c r="H30" s="30"/>
      <c r="I30" s="29"/>
      <c r="J30" s="34"/>
    </row>
    <row r="31" spans="1:10">
      <c r="A31" s="17">
        <v>23</v>
      </c>
      <c r="B31" s="22">
        <v>46025</v>
      </c>
      <c r="C31" s="18" t="s">
        <v>172</v>
      </c>
      <c r="D31" s="18" t="s">
        <v>173</v>
      </c>
      <c r="E31" s="18"/>
      <c r="F31" s="18"/>
      <c r="G31" s="29">
        <v>314.05</v>
      </c>
      <c r="H31" s="30"/>
      <c r="I31" s="29"/>
      <c r="J31" s="34"/>
    </row>
    <row r="32" spans="1:10">
      <c r="A32" s="17">
        <v>24</v>
      </c>
      <c r="B32" s="22">
        <v>46025</v>
      </c>
      <c r="C32" s="18" t="s">
        <v>174</v>
      </c>
      <c r="D32" s="18" t="s">
        <v>175</v>
      </c>
      <c r="E32" s="18"/>
      <c r="F32" s="18"/>
      <c r="G32" s="29">
        <v>995.31</v>
      </c>
      <c r="H32" s="30"/>
      <c r="I32" s="29"/>
      <c r="J32" s="34"/>
    </row>
    <row r="33" spans="1:10">
      <c r="A33" s="17">
        <v>25</v>
      </c>
      <c r="B33" s="22">
        <v>46025</v>
      </c>
      <c r="C33" s="18" t="s">
        <v>176</v>
      </c>
      <c r="D33" s="18" t="s">
        <v>177</v>
      </c>
      <c r="E33" s="18"/>
      <c r="F33" s="18"/>
      <c r="G33" s="29">
        <v>65.040000000000006</v>
      </c>
      <c r="H33" s="30"/>
      <c r="I33" s="29"/>
      <c r="J33" s="34"/>
    </row>
    <row r="34" spans="1:10">
      <c r="A34" s="17">
        <v>26</v>
      </c>
      <c r="B34" s="22">
        <v>46025</v>
      </c>
      <c r="C34" s="18" t="s">
        <v>178</v>
      </c>
      <c r="D34" s="18" t="s">
        <v>179</v>
      </c>
      <c r="E34" s="18"/>
      <c r="F34" s="18"/>
      <c r="G34" s="29">
        <v>200</v>
      </c>
      <c r="H34" s="30"/>
      <c r="I34" s="29"/>
      <c r="J34" s="34"/>
    </row>
    <row r="35" spans="1:10">
      <c r="A35" s="17">
        <v>27</v>
      </c>
      <c r="B35" s="22">
        <v>46025</v>
      </c>
      <c r="C35" s="18" t="s">
        <v>180</v>
      </c>
      <c r="D35" s="18" t="s">
        <v>181</v>
      </c>
      <c r="E35" s="18"/>
      <c r="F35" s="18"/>
      <c r="G35" s="29">
        <v>136.72999999999999</v>
      </c>
      <c r="H35" s="30"/>
      <c r="I35" s="29"/>
      <c r="J35" s="34"/>
    </row>
    <row r="36" spans="1:10">
      <c r="A36" s="17">
        <v>28</v>
      </c>
      <c r="B36" s="22">
        <v>46025</v>
      </c>
      <c r="C36" s="18" t="s">
        <v>182</v>
      </c>
      <c r="D36" s="18" t="s">
        <v>183</v>
      </c>
      <c r="E36" s="18"/>
      <c r="F36" s="18"/>
      <c r="G36" s="29">
        <v>100</v>
      </c>
      <c r="H36" s="30"/>
      <c r="I36" s="29"/>
      <c r="J36" s="34"/>
    </row>
    <row r="37" spans="1:10">
      <c r="A37" s="17">
        <v>29</v>
      </c>
      <c r="B37" s="22">
        <v>46025</v>
      </c>
      <c r="C37" s="18" t="s">
        <v>184</v>
      </c>
      <c r="D37" s="18" t="s">
        <v>98</v>
      </c>
      <c r="E37" s="18"/>
      <c r="F37" s="18"/>
      <c r="G37" s="29">
        <v>78.209999999999994</v>
      </c>
      <c r="H37" s="30"/>
      <c r="I37" s="29"/>
      <c r="J37" s="34"/>
    </row>
    <row r="38" spans="1:10">
      <c r="A38" s="17">
        <v>30</v>
      </c>
      <c r="B38" s="22">
        <v>46025</v>
      </c>
      <c r="C38" s="18" t="s">
        <v>185</v>
      </c>
      <c r="D38" s="18" t="s">
        <v>186</v>
      </c>
      <c r="E38" s="18"/>
      <c r="F38" s="18"/>
      <c r="G38" s="29">
        <v>113.89</v>
      </c>
      <c r="H38" s="30"/>
      <c r="I38" s="29"/>
      <c r="J38" s="34"/>
    </row>
    <row r="39" spans="1:10">
      <c r="A39" s="17">
        <v>31</v>
      </c>
      <c r="B39" s="22">
        <v>46025</v>
      </c>
      <c r="C39" s="18" t="s">
        <v>187</v>
      </c>
      <c r="D39" s="18" t="s">
        <v>188</v>
      </c>
      <c r="E39" s="18"/>
      <c r="F39" s="18"/>
      <c r="G39" s="29"/>
      <c r="H39" s="30">
        <v>16000000</v>
      </c>
      <c r="I39" s="29"/>
      <c r="J39" s="34"/>
    </row>
    <row r="40" spans="1:10">
      <c r="A40" s="17">
        <v>32</v>
      </c>
      <c r="B40" s="22">
        <v>46025</v>
      </c>
      <c r="C40" s="18" t="s">
        <v>189</v>
      </c>
      <c r="D40" s="18" t="s">
        <v>190</v>
      </c>
      <c r="E40" s="18"/>
      <c r="F40" s="18"/>
      <c r="G40" s="29"/>
      <c r="H40" s="30">
        <v>5566000</v>
      </c>
      <c r="I40" s="29"/>
      <c r="J40" s="34"/>
    </row>
    <row r="41" spans="1:10" s="9" customFormat="1" thickBot="1">
      <c r="A41" s="24"/>
      <c r="B41" s="25"/>
      <c r="C41" s="25"/>
      <c r="D41" s="25" t="s">
        <v>4</v>
      </c>
      <c r="E41" s="25"/>
      <c r="F41" s="25"/>
      <c r="G41" s="35">
        <v>19919.32</v>
      </c>
      <c r="H41" s="36">
        <v>21566000</v>
      </c>
      <c r="I41" s="35">
        <v>28654.49</v>
      </c>
      <c r="J41" s="37">
        <f>J7-H41</f>
        <v>263308000</v>
      </c>
    </row>
    <row r="43" spans="1:10">
      <c r="H43" s="10" t="s">
        <v>14</v>
      </c>
    </row>
    <row r="44" spans="1:10">
      <c r="H44" s="11" t="s">
        <v>15</v>
      </c>
    </row>
    <row r="241" spans="52:52">
      <c r="AZ241" s="1" t="s">
        <v>5</v>
      </c>
    </row>
  </sheetData>
  <mergeCells count="9">
    <mergeCell ref="A1:E2"/>
    <mergeCell ref="A3:J4"/>
    <mergeCell ref="A5:A6"/>
    <mergeCell ref="B5:B6"/>
    <mergeCell ref="C5:C6"/>
    <mergeCell ref="D5:D6"/>
    <mergeCell ref="E5:F5"/>
    <mergeCell ref="G5:H5"/>
    <mergeCell ref="I5:J5"/>
  </mergeCells>
  <pageMargins left="0.5" right="0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84A16-F377-49B0-83D4-835FC3202715}">
  <dimension ref="A1:AZ242"/>
  <sheetViews>
    <sheetView topLeftCell="C1" zoomScale="85" zoomScaleNormal="85" workbookViewId="0">
      <selection activeCell="D25" sqref="D25"/>
    </sheetView>
  </sheetViews>
  <sheetFormatPr defaultColWidth="9.15234375" defaultRowHeight="12.9"/>
  <cols>
    <col min="1" max="1" width="4.4609375" style="1" bestFit="1" customWidth="1"/>
    <col min="2" max="2" width="7.3046875" style="1" bestFit="1" customWidth="1"/>
    <col min="3" max="3" width="10.84375" style="6" bestFit="1" customWidth="1"/>
    <col min="4" max="4" width="31.765625" style="1" bestFit="1" customWidth="1"/>
    <col min="5" max="5" width="4.3046875" style="7" bestFit="1" customWidth="1"/>
    <col min="6" max="6" width="4.61328125" style="1" bestFit="1" customWidth="1"/>
    <col min="7" max="7" width="9.3046875" style="1" bestFit="1" customWidth="1"/>
    <col min="8" max="8" width="4.61328125" style="1" bestFit="1" customWidth="1"/>
    <col min="9" max="9" width="9.53515625" style="1" customWidth="1"/>
    <col min="10" max="10" width="11.15234375" style="1" bestFit="1" customWidth="1"/>
    <col min="11" max="16384" width="9.15234375" style="1"/>
  </cols>
  <sheetData>
    <row r="1" spans="1:52" ht="28.3" customHeight="1">
      <c r="A1" s="79" t="s">
        <v>17</v>
      </c>
      <c r="B1" s="80"/>
      <c r="C1" s="80"/>
      <c r="D1" s="80"/>
      <c r="E1" s="80"/>
    </row>
    <row r="2" spans="1:52" ht="28.3" customHeight="1">
      <c r="A2" s="80"/>
      <c r="B2" s="80"/>
      <c r="C2" s="80"/>
      <c r="D2" s="80"/>
      <c r="E2" s="80"/>
    </row>
    <row r="3" spans="1:52">
      <c r="A3" s="81" t="s">
        <v>11</v>
      </c>
      <c r="B3" s="81"/>
      <c r="C3" s="81"/>
      <c r="D3" s="81"/>
      <c r="E3" s="81"/>
      <c r="F3" s="81"/>
      <c r="G3" s="81"/>
      <c r="H3" s="81"/>
      <c r="I3" s="81"/>
      <c r="J3" s="81"/>
      <c r="AS3" s="2">
        <v>43921</v>
      </c>
      <c r="AZ3" s="1">
        <f>(AQ3-4)*20000</f>
        <v>-80000</v>
      </c>
    </row>
    <row r="4" spans="1:52" ht="13.3" thickBot="1">
      <c r="A4" s="81"/>
      <c r="B4" s="81"/>
      <c r="C4" s="81"/>
      <c r="D4" s="81"/>
      <c r="E4" s="81"/>
      <c r="F4" s="81"/>
      <c r="G4" s="81"/>
      <c r="H4" s="81"/>
      <c r="I4" s="81"/>
      <c r="J4" s="81"/>
    </row>
    <row r="5" spans="1:52">
      <c r="A5" s="90" t="s">
        <v>0</v>
      </c>
      <c r="B5" s="92" t="s">
        <v>9</v>
      </c>
      <c r="C5" s="96" t="s">
        <v>1</v>
      </c>
      <c r="D5" s="92" t="s">
        <v>10</v>
      </c>
      <c r="E5" s="94" t="s">
        <v>13</v>
      </c>
      <c r="F5" s="94"/>
      <c r="G5" s="94" t="s">
        <v>8</v>
      </c>
      <c r="H5" s="94"/>
      <c r="I5" s="94" t="s">
        <v>7</v>
      </c>
      <c r="J5" s="95"/>
    </row>
    <row r="6" spans="1:52">
      <c r="A6" s="91"/>
      <c r="B6" s="93"/>
      <c r="C6" s="97"/>
      <c r="D6" s="93"/>
      <c r="E6" s="3" t="s">
        <v>2</v>
      </c>
      <c r="F6" s="4" t="s">
        <v>6</v>
      </c>
      <c r="G6" s="4" t="s">
        <v>2</v>
      </c>
      <c r="H6" s="4" t="s">
        <v>6</v>
      </c>
      <c r="I6" s="4" t="s">
        <v>2</v>
      </c>
      <c r="J6" s="8" t="s">
        <v>6</v>
      </c>
    </row>
    <row r="7" spans="1:52">
      <c r="A7" s="17"/>
      <c r="B7" s="18"/>
      <c r="C7" s="18"/>
      <c r="D7" s="18" t="s">
        <v>12</v>
      </c>
      <c r="E7" s="18"/>
      <c r="F7" s="18"/>
      <c r="G7" s="29"/>
      <c r="H7" s="30"/>
      <c r="I7" s="29">
        <v>28654.49</v>
      </c>
      <c r="J7" s="34">
        <v>263308000</v>
      </c>
    </row>
    <row r="8" spans="1:52">
      <c r="A8" s="17"/>
      <c r="B8" s="18"/>
      <c r="C8" s="18"/>
      <c r="D8" s="18" t="s">
        <v>16</v>
      </c>
      <c r="E8" s="18">
        <v>0</v>
      </c>
      <c r="F8" s="18">
        <v>0</v>
      </c>
      <c r="G8" s="29"/>
      <c r="H8" s="30"/>
      <c r="I8" s="29"/>
      <c r="J8" s="34"/>
    </row>
    <row r="9" spans="1:52">
      <c r="A9" s="17">
        <v>1</v>
      </c>
      <c r="B9" s="22">
        <v>46026</v>
      </c>
      <c r="C9" s="18" t="s">
        <v>191</v>
      </c>
      <c r="D9" s="18" t="s">
        <v>141</v>
      </c>
      <c r="E9" s="18"/>
      <c r="F9" s="18"/>
      <c r="G9" s="29">
        <v>130.12</v>
      </c>
      <c r="H9" s="30"/>
      <c r="I9" s="29"/>
      <c r="J9" s="34"/>
    </row>
    <row r="10" spans="1:52">
      <c r="A10" s="17">
        <v>2</v>
      </c>
      <c r="B10" s="22">
        <v>46026</v>
      </c>
      <c r="C10" s="18" t="s">
        <v>192</v>
      </c>
      <c r="D10" s="18" t="s">
        <v>193</v>
      </c>
      <c r="E10" s="18"/>
      <c r="F10" s="18"/>
      <c r="G10" s="29">
        <v>2782.33</v>
      </c>
      <c r="H10" s="30"/>
      <c r="I10" s="29"/>
      <c r="J10" s="34"/>
      <c r="AX10" s="5" t="s">
        <v>3</v>
      </c>
    </row>
    <row r="11" spans="1:52">
      <c r="A11" s="17">
        <v>3</v>
      </c>
      <c r="B11" s="22">
        <v>46026</v>
      </c>
      <c r="C11" s="18" t="s">
        <v>194</v>
      </c>
      <c r="D11" s="18" t="s">
        <v>195</v>
      </c>
      <c r="E11" s="18"/>
      <c r="F11" s="18"/>
      <c r="G11" s="29">
        <v>200</v>
      </c>
      <c r="H11" s="30"/>
      <c r="I11" s="29"/>
      <c r="J11" s="34"/>
    </row>
    <row r="12" spans="1:52">
      <c r="A12" s="17">
        <v>4</v>
      </c>
      <c r="B12" s="22">
        <v>46026</v>
      </c>
      <c r="C12" s="18" t="s">
        <v>196</v>
      </c>
      <c r="D12" s="18" t="s">
        <v>197</v>
      </c>
      <c r="E12" s="18"/>
      <c r="F12" s="18"/>
      <c r="G12" s="29">
        <v>150</v>
      </c>
      <c r="H12" s="30"/>
      <c r="I12" s="29"/>
      <c r="J12" s="34"/>
    </row>
    <row r="13" spans="1:52">
      <c r="A13" s="17">
        <v>5</v>
      </c>
      <c r="B13" s="22">
        <v>46026</v>
      </c>
      <c r="C13" s="18" t="s">
        <v>198</v>
      </c>
      <c r="D13" s="18" t="s">
        <v>199</v>
      </c>
      <c r="E13" s="18"/>
      <c r="F13" s="18"/>
      <c r="G13" s="29">
        <v>2000</v>
      </c>
      <c r="H13" s="30"/>
      <c r="I13" s="29"/>
      <c r="J13" s="34"/>
    </row>
    <row r="14" spans="1:52">
      <c r="A14" s="17">
        <v>6</v>
      </c>
      <c r="B14" s="22">
        <v>46026</v>
      </c>
      <c r="C14" s="18" t="s">
        <v>200</v>
      </c>
      <c r="D14" s="18" t="s">
        <v>201</v>
      </c>
      <c r="E14" s="18"/>
      <c r="F14" s="18"/>
      <c r="G14" s="29">
        <v>500</v>
      </c>
      <c r="H14" s="30"/>
      <c r="I14" s="29"/>
      <c r="J14" s="34"/>
    </row>
    <row r="15" spans="1:52">
      <c r="A15" s="17">
        <v>7</v>
      </c>
      <c r="B15" s="22">
        <v>46026</v>
      </c>
      <c r="C15" s="18" t="s">
        <v>202</v>
      </c>
      <c r="D15" s="18" t="s">
        <v>203</v>
      </c>
      <c r="E15" s="18"/>
      <c r="F15" s="18"/>
      <c r="G15" s="29">
        <v>200</v>
      </c>
      <c r="H15" s="30"/>
      <c r="I15" s="29"/>
      <c r="J15" s="34"/>
    </row>
    <row r="16" spans="1:52">
      <c r="A16" s="17">
        <v>8</v>
      </c>
      <c r="B16" s="22">
        <v>46026</v>
      </c>
      <c r="C16" s="18" t="s">
        <v>204</v>
      </c>
      <c r="D16" s="18" t="s">
        <v>205</v>
      </c>
      <c r="E16" s="18"/>
      <c r="F16" s="18"/>
      <c r="G16" s="29">
        <v>200</v>
      </c>
      <c r="H16" s="30"/>
      <c r="I16" s="29"/>
      <c r="J16" s="34"/>
    </row>
    <row r="17" spans="1:10">
      <c r="A17" s="17">
        <v>9</v>
      </c>
      <c r="B17" s="22">
        <v>46026</v>
      </c>
      <c r="C17" s="18" t="s">
        <v>206</v>
      </c>
      <c r="D17" s="18" t="s">
        <v>207</v>
      </c>
      <c r="E17" s="18"/>
      <c r="F17" s="18"/>
      <c r="G17" s="29">
        <v>300</v>
      </c>
      <c r="H17" s="30"/>
      <c r="I17" s="29"/>
      <c r="J17" s="34"/>
    </row>
    <row r="18" spans="1:10">
      <c r="A18" s="17">
        <v>10</v>
      </c>
      <c r="B18" s="22">
        <v>46026</v>
      </c>
      <c r="C18" s="18" t="s">
        <v>208</v>
      </c>
      <c r="D18" s="18" t="s">
        <v>209</v>
      </c>
      <c r="E18" s="18"/>
      <c r="F18" s="18"/>
      <c r="G18" s="29">
        <v>100</v>
      </c>
      <c r="H18" s="30"/>
      <c r="I18" s="29"/>
      <c r="J18" s="34"/>
    </row>
    <row r="19" spans="1:10">
      <c r="A19" s="17">
        <v>11</v>
      </c>
      <c r="B19" s="22">
        <v>46026</v>
      </c>
      <c r="C19" s="18" t="s">
        <v>210</v>
      </c>
      <c r="D19" s="18" t="s">
        <v>211</v>
      </c>
      <c r="E19" s="18"/>
      <c r="F19" s="18"/>
      <c r="G19" s="29">
        <v>17.079999999999998</v>
      </c>
      <c r="H19" s="30"/>
      <c r="I19" s="29"/>
      <c r="J19" s="34"/>
    </row>
    <row r="20" spans="1:10">
      <c r="A20" s="17">
        <v>12</v>
      </c>
      <c r="B20" s="22">
        <v>46026</v>
      </c>
      <c r="C20" s="18" t="s">
        <v>212</v>
      </c>
      <c r="D20" s="18" t="s">
        <v>213</v>
      </c>
      <c r="E20" s="18"/>
      <c r="F20" s="18"/>
      <c r="G20" s="29">
        <v>342.15</v>
      </c>
      <c r="H20" s="30"/>
      <c r="I20" s="29"/>
      <c r="J20" s="34"/>
    </row>
    <row r="21" spans="1:10">
      <c r="A21" s="17">
        <v>13</v>
      </c>
      <c r="B21" s="22">
        <v>46026</v>
      </c>
      <c r="C21" s="18" t="s">
        <v>214</v>
      </c>
      <c r="D21" s="18" t="s">
        <v>215</v>
      </c>
      <c r="E21" s="18"/>
      <c r="F21" s="18"/>
      <c r="G21" s="29">
        <v>2500</v>
      </c>
      <c r="H21" s="30"/>
      <c r="I21" s="29"/>
      <c r="J21" s="34"/>
    </row>
    <row r="22" spans="1:10">
      <c r="A22" s="17">
        <v>14</v>
      </c>
      <c r="B22" s="22">
        <v>46026</v>
      </c>
      <c r="C22" s="18" t="s">
        <v>216</v>
      </c>
      <c r="D22" s="18" t="s">
        <v>217</v>
      </c>
      <c r="E22" s="18"/>
      <c r="F22" s="18"/>
      <c r="G22" s="29">
        <v>191.52</v>
      </c>
      <c r="H22" s="30"/>
      <c r="I22" s="29"/>
      <c r="J22" s="34"/>
    </row>
    <row r="23" spans="1:10">
      <c r="A23" s="17">
        <v>15</v>
      </c>
      <c r="B23" s="22">
        <v>46026</v>
      </c>
      <c r="C23" s="18" t="s">
        <v>218</v>
      </c>
      <c r="D23" s="18" t="s">
        <v>219</v>
      </c>
      <c r="E23" s="18"/>
      <c r="F23" s="18"/>
      <c r="G23" s="29">
        <v>100</v>
      </c>
      <c r="H23" s="30"/>
      <c r="I23" s="29"/>
      <c r="J23" s="34"/>
    </row>
    <row r="24" spans="1:10">
      <c r="A24" s="17">
        <v>16</v>
      </c>
      <c r="B24" s="22">
        <v>46026</v>
      </c>
      <c r="C24" s="18" t="s">
        <v>220</v>
      </c>
      <c r="D24" s="18" t="s">
        <v>221</v>
      </c>
      <c r="E24" s="18"/>
      <c r="F24" s="18"/>
      <c r="G24" s="29">
        <v>2724</v>
      </c>
      <c r="H24" s="30"/>
      <c r="I24" s="29"/>
      <c r="J24" s="34"/>
    </row>
    <row r="25" spans="1:10">
      <c r="A25" s="17">
        <v>17</v>
      </c>
      <c r="B25" s="22">
        <v>46026</v>
      </c>
      <c r="C25" s="18" t="s">
        <v>222</v>
      </c>
      <c r="D25" s="18" t="s">
        <v>223</v>
      </c>
      <c r="E25" s="18"/>
      <c r="F25" s="18"/>
      <c r="G25" s="29">
        <v>61.58</v>
      </c>
      <c r="H25" s="30"/>
      <c r="I25" s="29"/>
      <c r="J25" s="34"/>
    </row>
    <row r="26" spans="1:10">
      <c r="A26" s="17">
        <v>18</v>
      </c>
      <c r="B26" s="22">
        <v>46026</v>
      </c>
      <c r="C26" s="18" t="s">
        <v>224</v>
      </c>
      <c r="D26" s="18" t="s">
        <v>225</v>
      </c>
      <c r="E26" s="18"/>
      <c r="F26" s="18"/>
      <c r="G26" s="29">
        <v>654.92999999999995</v>
      </c>
      <c r="H26" s="30"/>
      <c r="I26" s="29"/>
      <c r="J26" s="34"/>
    </row>
    <row r="27" spans="1:10">
      <c r="A27" s="17">
        <v>19</v>
      </c>
      <c r="B27" s="22">
        <v>46026</v>
      </c>
      <c r="C27" s="18" t="s">
        <v>226</v>
      </c>
      <c r="D27" s="18" t="s">
        <v>227</v>
      </c>
      <c r="E27" s="18"/>
      <c r="F27" s="18"/>
      <c r="G27" s="29">
        <v>1200</v>
      </c>
      <c r="H27" s="30"/>
      <c r="I27" s="29"/>
      <c r="J27" s="34"/>
    </row>
    <row r="28" spans="1:10">
      <c r="A28" s="17">
        <v>20</v>
      </c>
      <c r="B28" s="22">
        <v>46026</v>
      </c>
      <c r="C28" s="18" t="s">
        <v>228</v>
      </c>
      <c r="D28" s="18" t="s">
        <v>229</v>
      </c>
      <c r="E28" s="18"/>
      <c r="F28" s="18"/>
      <c r="G28" s="29">
        <v>229.75</v>
      </c>
      <c r="H28" s="30"/>
      <c r="I28" s="29"/>
      <c r="J28" s="34"/>
    </row>
    <row r="29" spans="1:10">
      <c r="A29" s="17">
        <v>21</v>
      </c>
      <c r="B29" s="22">
        <v>46026</v>
      </c>
      <c r="C29" s="18" t="s">
        <v>230</v>
      </c>
      <c r="D29" s="18" t="s">
        <v>231</v>
      </c>
      <c r="E29" s="18"/>
      <c r="F29" s="18"/>
      <c r="G29" s="29">
        <v>600.69000000000005</v>
      </c>
      <c r="H29" s="30"/>
      <c r="I29" s="29"/>
      <c r="J29" s="34"/>
    </row>
    <row r="30" spans="1:10">
      <c r="A30" s="17">
        <v>22</v>
      </c>
      <c r="B30" s="22">
        <v>46026</v>
      </c>
      <c r="C30" s="18" t="s">
        <v>232</v>
      </c>
      <c r="D30" s="18" t="s">
        <v>233</v>
      </c>
      <c r="E30" s="18"/>
      <c r="F30" s="18"/>
      <c r="G30" s="29">
        <v>975.3</v>
      </c>
      <c r="H30" s="30"/>
      <c r="I30" s="29"/>
      <c r="J30" s="34"/>
    </row>
    <row r="31" spans="1:10">
      <c r="A31" s="17">
        <v>23</v>
      </c>
      <c r="B31" s="22">
        <v>46026</v>
      </c>
      <c r="C31" s="18" t="s">
        <v>234</v>
      </c>
      <c r="D31" s="18" t="s">
        <v>235</v>
      </c>
      <c r="E31" s="18"/>
      <c r="F31" s="18"/>
      <c r="G31" s="29">
        <v>127.92</v>
      </c>
      <c r="H31" s="30"/>
      <c r="I31" s="29"/>
      <c r="J31" s="34"/>
    </row>
    <row r="32" spans="1:10">
      <c r="A32" s="17">
        <v>24</v>
      </c>
      <c r="B32" s="22">
        <v>46026</v>
      </c>
      <c r="C32" s="18" t="s">
        <v>236</v>
      </c>
      <c r="D32" s="18" t="s">
        <v>237</v>
      </c>
      <c r="E32" s="18"/>
      <c r="F32" s="18"/>
      <c r="G32" s="29">
        <v>4000</v>
      </c>
      <c r="H32" s="30"/>
      <c r="I32" s="29"/>
      <c r="J32" s="34"/>
    </row>
    <row r="33" spans="1:10">
      <c r="A33" s="17">
        <v>25</v>
      </c>
      <c r="B33" s="22">
        <v>46026</v>
      </c>
      <c r="C33" s="18" t="s">
        <v>238</v>
      </c>
      <c r="D33" s="18" t="s">
        <v>239</v>
      </c>
      <c r="E33" s="18"/>
      <c r="F33" s="18"/>
      <c r="G33" s="29">
        <v>161.63999999999999</v>
      </c>
      <c r="H33" s="30"/>
      <c r="I33" s="29"/>
      <c r="J33" s="34"/>
    </row>
    <row r="34" spans="1:10">
      <c r="A34" s="17">
        <v>26</v>
      </c>
      <c r="B34" s="22">
        <v>46026</v>
      </c>
      <c r="C34" s="18" t="s">
        <v>240</v>
      </c>
      <c r="D34" s="18" t="s">
        <v>241</v>
      </c>
      <c r="E34" s="18"/>
      <c r="F34" s="18"/>
      <c r="G34" s="29">
        <v>215</v>
      </c>
      <c r="H34" s="30"/>
      <c r="I34" s="29"/>
      <c r="J34" s="34"/>
    </row>
    <row r="35" spans="1:10">
      <c r="A35" s="17">
        <v>27</v>
      </c>
      <c r="B35" s="22">
        <v>46026</v>
      </c>
      <c r="C35" s="18" t="s">
        <v>242</v>
      </c>
      <c r="D35" s="18" t="s">
        <v>243</v>
      </c>
      <c r="E35" s="18"/>
      <c r="F35" s="18"/>
      <c r="G35" s="29">
        <v>115.71</v>
      </c>
      <c r="H35" s="30"/>
      <c r="I35" s="29"/>
      <c r="J35" s="34"/>
    </row>
    <row r="36" spans="1:10">
      <c r="A36" s="17">
        <v>28</v>
      </c>
      <c r="B36" s="22">
        <v>46026</v>
      </c>
      <c r="C36" s="18" t="s">
        <v>244</v>
      </c>
      <c r="D36" s="18" t="s">
        <v>245</v>
      </c>
      <c r="E36" s="18"/>
      <c r="F36" s="18"/>
      <c r="G36" s="29">
        <v>100</v>
      </c>
      <c r="H36" s="30"/>
      <c r="I36" s="29"/>
      <c r="J36" s="34"/>
    </row>
    <row r="37" spans="1:10">
      <c r="A37" s="17">
        <v>29</v>
      </c>
      <c r="B37" s="22">
        <v>46026</v>
      </c>
      <c r="C37" s="18" t="s">
        <v>246</v>
      </c>
      <c r="D37" s="18" t="s">
        <v>247</v>
      </c>
      <c r="E37" s="18"/>
      <c r="F37" s="18"/>
      <c r="G37" s="29">
        <v>340</v>
      </c>
      <c r="H37" s="30"/>
      <c r="I37" s="29"/>
      <c r="J37" s="34"/>
    </row>
    <row r="38" spans="1:10">
      <c r="A38" s="17">
        <v>30</v>
      </c>
      <c r="B38" s="22">
        <v>46026</v>
      </c>
      <c r="C38" s="18" t="s">
        <v>248</v>
      </c>
      <c r="D38" s="18" t="s">
        <v>249</v>
      </c>
      <c r="E38" s="18"/>
      <c r="F38" s="18"/>
      <c r="G38" s="29">
        <v>137.29</v>
      </c>
      <c r="H38" s="30"/>
      <c r="I38" s="29"/>
      <c r="J38" s="34"/>
    </row>
    <row r="39" spans="1:10">
      <c r="A39" s="17">
        <v>31</v>
      </c>
      <c r="B39" s="22">
        <v>46026</v>
      </c>
      <c r="C39" s="18" t="s">
        <v>250</v>
      </c>
      <c r="D39" s="18" t="s">
        <v>249</v>
      </c>
      <c r="E39" s="18"/>
      <c r="F39" s="18"/>
      <c r="G39" s="29">
        <v>68.64</v>
      </c>
      <c r="H39" s="30"/>
      <c r="I39" s="29"/>
      <c r="J39" s="34"/>
    </row>
    <row r="40" spans="1:10">
      <c r="A40" s="17">
        <v>32</v>
      </c>
      <c r="B40" s="22">
        <v>46026</v>
      </c>
      <c r="C40" s="18" t="s">
        <v>251</v>
      </c>
      <c r="D40" s="18" t="s">
        <v>252</v>
      </c>
      <c r="E40" s="18"/>
      <c r="F40" s="18"/>
      <c r="G40" s="29">
        <v>547.45000000000005</v>
      </c>
      <c r="H40" s="30"/>
      <c r="I40" s="29"/>
      <c r="J40" s="34"/>
    </row>
    <row r="41" spans="1:10" s="9" customFormat="1">
      <c r="A41" s="17">
        <v>33</v>
      </c>
      <c r="B41" s="22">
        <v>46026</v>
      </c>
      <c r="C41" s="18" t="s">
        <v>253</v>
      </c>
      <c r="D41" s="18" t="s">
        <v>254</v>
      </c>
      <c r="E41" s="18"/>
      <c r="F41" s="18"/>
      <c r="G41" s="29">
        <v>300</v>
      </c>
      <c r="H41" s="30"/>
      <c r="I41" s="29"/>
      <c r="J41" s="34"/>
    </row>
    <row r="42" spans="1:10" s="9" customFormat="1" thickBot="1">
      <c r="A42" s="24"/>
      <c r="B42" s="25"/>
      <c r="C42" s="25"/>
      <c r="D42" s="25" t="s">
        <v>4</v>
      </c>
      <c r="E42" s="25"/>
      <c r="F42" s="25"/>
      <c r="G42" s="35">
        <v>22273.1</v>
      </c>
      <c r="H42" s="36">
        <v>0</v>
      </c>
      <c r="I42" s="35">
        <v>6381.39</v>
      </c>
      <c r="J42" s="37">
        <v>263308000</v>
      </c>
    </row>
    <row r="43" spans="1:10" s="9" customFormat="1" ht="14.15">
      <c r="A43" s="12"/>
      <c r="B43" s="12"/>
      <c r="C43" s="12"/>
      <c r="D43" s="12"/>
      <c r="E43" s="12"/>
      <c r="F43" s="12"/>
      <c r="G43" s="13"/>
      <c r="H43" s="14"/>
      <c r="I43" s="13"/>
      <c r="J43" s="14"/>
    </row>
    <row r="44" spans="1:10">
      <c r="H44" s="10" t="s">
        <v>14</v>
      </c>
    </row>
    <row r="45" spans="1:10">
      <c r="H45" s="11" t="s">
        <v>15</v>
      </c>
    </row>
    <row r="242" spans="52:52">
      <c r="AZ242" s="1" t="s">
        <v>5</v>
      </c>
    </row>
  </sheetData>
  <mergeCells count="9">
    <mergeCell ref="A1:E2"/>
    <mergeCell ref="A3:J4"/>
    <mergeCell ref="A5:A6"/>
    <mergeCell ref="B5:B6"/>
    <mergeCell ref="C5:C6"/>
    <mergeCell ref="D5:D6"/>
    <mergeCell ref="E5:F5"/>
    <mergeCell ref="G5:H5"/>
    <mergeCell ref="I5:J5"/>
  </mergeCells>
  <pageMargins left="0.5" right="0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B9812-C703-4DE8-8318-49FB37787A1C}">
  <dimension ref="A1:AZ242"/>
  <sheetViews>
    <sheetView topLeftCell="A67" zoomScaleNormal="100" workbookViewId="0">
      <selection activeCell="J88" sqref="J88"/>
    </sheetView>
  </sheetViews>
  <sheetFormatPr defaultColWidth="9.15234375" defaultRowHeight="12.9"/>
  <cols>
    <col min="1" max="1" width="2.84375" style="1" customWidth="1"/>
    <col min="2" max="2" width="7.07421875" style="1" bestFit="1" customWidth="1"/>
    <col min="3" max="3" width="11.84375" style="6" bestFit="1" customWidth="1"/>
    <col min="4" max="4" width="22.3046875" style="1" customWidth="1"/>
    <col min="5" max="5" width="9.765625" style="7" customWidth="1"/>
    <col min="6" max="6" width="9.53515625" style="1" customWidth="1"/>
    <col min="7" max="7" width="9.69140625" style="1" bestFit="1" customWidth="1"/>
    <col min="8" max="8" width="4.69140625" style="1" bestFit="1" customWidth="1"/>
    <col min="9" max="9" width="9.69140625" style="1" bestFit="1" customWidth="1"/>
    <col min="10" max="10" width="11.69140625" style="1" bestFit="1" customWidth="1"/>
    <col min="11" max="16384" width="9.15234375" style="1"/>
  </cols>
  <sheetData>
    <row r="1" spans="1:52" ht="28.3" customHeight="1">
      <c r="A1" s="79" t="s">
        <v>17</v>
      </c>
      <c r="B1" s="80"/>
      <c r="C1" s="80"/>
      <c r="D1" s="80"/>
      <c r="E1" s="80"/>
    </row>
    <row r="2" spans="1:52" ht="28.3" customHeight="1">
      <c r="A2" s="80"/>
      <c r="B2" s="80"/>
      <c r="C2" s="80"/>
      <c r="D2" s="80"/>
      <c r="E2" s="80"/>
    </row>
    <row r="3" spans="1:52">
      <c r="A3" s="81" t="s">
        <v>11</v>
      </c>
      <c r="B3" s="81"/>
      <c r="C3" s="81"/>
      <c r="D3" s="81"/>
      <c r="E3" s="81"/>
      <c r="F3" s="81"/>
      <c r="G3" s="81"/>
      <c r="H3" s="81"/>
      <c r="I3" s="81"/>
      <c r="J3" s="81"/>
      <c r="AS3" s="2">
        <v>43921</v>
      </c>
      <c r="AZ3" s="1">
        <f>(AQ3-4)*20000</f>
        <v>-80000</v>
      </c>
    </row>
    <row r="4" spans="1:52" ht="13.3" thickBot="1">
      <c r="A4" s="81"/>
      <c r="B4" s="81"/>
      <c r="C4" s="81"/>
      <c r="D4" s="81"/>
      <c r="E4" s="81"/>
      <c r="F4" s="81"/>
      <c r="G4" s="81"/>
      <c r="H4" s="81"/>
      <c r="I4" s="81"/>
      <c r="J4" s="81"/>
    </row>
    <row r="5" spans="1:52">
      <c r="A5" s="82" t="s">
        <v>0</v>
      </c>
      <c r="B5" s="84" t="s">
        <v>9</v>
      </c>
      <c r="C5" s="86" t="s">
        <v>1</v>
      </c>
      <c r="D5" s="84" t="s">
        <v>10</v>
      </c>
      <c r="E5" s="88" t="s">
        <v>13</v>
      </c>
      <c r="F5" s="88"/>
      <c r="G5" s="88" t="s">
        <v>8</v>
      </c>
      <c r="H5" s="88"/>
      <c r="I5" s="88" t="s">
        <v>7</v>
      </c>
      <c r="J5" s="89"/>
    </row>
    <row r="6" spans="1:52">
      <c r="A6" s="83"/>
      <c r="B6" s="85"/>
      <c r="C6" s="87"/>
      <c r="D6" s="85"/>
      <c r="E6" s="38" t="s">
        <v>2</v>
      </c>
      <c r="F6" s="39" t="s">
        <v>6</v>
      </c>
      <c r="G6" s="39" t="s">
        <v>2</v>
      </c>
      <c r="H6" s="39" t="s">
        <v>6</v>
      </c>
      <c r="I6" s="39" t="s">
        <v>2</v>
      </c>
      <c r="J6" s="40" t="s">
        <v>6</v>
      </c>
    </row>
    <row r="7" spans="1:52">
      <c r="A7" s="41"/>
      <c r="B7" s="42"/>
      <c r="C7" s="42"/>
      <c r="D7" s="42" t="s">
        <v>12</v>
      </c>
      <c r="E7" s="43"/>
      <c r="F7" s="44"/>
      <c r="G7" s="43"/>
      <c r="H7" s="44"/>
      <c r="I7" s="43">
        <v>6381.39</v>
      </c>
      <c r="J7" s="45">
        <v>263308000</v>
      </c>
    </row>
    <row r="8" spans="1:52">
      <c r="A8" s="41"/>
      <c r="B8" s="42"/>
      <c r="C8" s="42"/>
      <c r="D8" s="42" t="s">
        <v>16</v>
      </c>
      <c r="E8" s="43">
        <v>108319</v>
      </c>
      <c r="F8" s="44">
        <f>15126000+21566000+2420+7744+15246+21296+7986</f>
        <v>36746692</v>
      </c>
      <c r="G8" s="43"/>
      <c r="H8" s="44"/>
      <c r="I8" s="43"/>
      <c r="J8" s="45"/>
    </row>
    <row r="9" spans="1:52">
      <c r="A9" s="41">
        <v>1</v>
      </c>
      <c r="B9" s="46">
        <v>46027</v>
      </c>
      <c r="C9" s="42" t="s">
        <v>255</v>
      </c>
      <c r="D9" s="42" t="s">
        <v>2045</v>
      </c>
      <c r="E9" s="43"/>
      <c r="F9" s="44"/>
      <c r="G9" s="43">
        <v>25000</v>
      </c>
      <c r="H9" s="44"/>
      <c r="I9" s="43"/>
      <c r="J9" s="45"/>
    </row>
    <row r="10" spans="1:52">
      <c r="A10" s="41">
        <v>2</v>
      </c>
      <c r="B10" s="46">
        <v>46027</v>
      </c>
      <c r="C10" s="42" t="s">
        <v>256</v>
      </c>
      <c r="D10" s="42" t="s">
        <v>257</v>
      </c>
      <c r="E10" s="43"/>
      <c r="F10" s="44"/>
      <c r="G10" s="43">
        <v>400</v>
      </c>
      <c r="H10" s="44"/>
      <c r="I10" s="43"/>
      <c r="J10" s="45"/>
      <c r="AX10" s="5" t="s">
        <v>3</v>
      </c>
    </row>
    <row r="11" spans="1:52">
      <c r="A11" s="41">
        <v>3</v>
      </c>
      <c r="B11" s="46">
        <v>46027</v>
      </c>
      <c r="C11" s="42" t="s">
        <v>258</v>
      </c>
      <c r="D11" s="42" t="s">
        <v>259</v>
      </c>
      <c r="E11" s="43"/>
      <c r="F11" s="44"/>
      <c r="G11" s="43">
        <v>200</v>
      </c>
      <c r="H11" s="44"/>
      <c r="I11" s="43"/>
      <c r="J11" s="45"/>
    </row>
    <row r="12" spans="1:52">
      <c r="A12" s="41">
        <v>4</v>
      </c>
      <c r="B12" s="46">
        <v>46027</v>
      </c>
      <c r="C12" s="42" t="s">
        <v>260</v>
      </c>
      <c r="D12" s="42" t="s">
        <v>261</v>
      </c>
      <c r="E12" s="43"/>
      <c r="F12" s="44"/>
      <c r="G12" s="43">
        <v>300</v>
      </c>
      <c r="H12" s="44"/>
      <c r="I12" s="43"/>
      <c r="J12" s="45"/>
    </row>
    <row r="13" spans="1:52">
      <c r="A13" s="41">
        <v>5</v>
      </c>
      <c r="B13" s="46">
        <v>46027</v>
      </c>
      <c r="C13" s="42" t="s">
        <v>262</v>
      </c>
      <c r="D13" s="42" t="s">
        <v>263</v>
      </c>
      <c r="E13" s="43"/>
      <c r="F13" s="44"/>
      <c r="G13" s="43">
        <v>500</v>
      </c>
      <c r="H13" s="44"/>
      <c r="I13" s="43"/>
      <c r="J13" s="45"/>
    </row>
    <row r="14" spans="1:52">
      <c r="A14" s="41">
        <v>6</v>
      </c>
      <c r="B14" s="46">
        <v>46027</v>
      </c>
      <c r="C14" s="42" t="s">
        <v>264</v>
      </c>
      <c r="D14" s="42" t="s">
        <v>265</v>
      </c>
      <c r="E14" s="43"/>
      <c r="F14" s="44"/>
      <c r="G14" s="43">
        <v>1000</v>
      </c>
      <c r="H14" s="44"/>
      <c r="I14" s="43"/>
      <c r="J14" s="45"/>
    </row>
    <row r="15" spans="1:52">
      <c r="A15" s="41">
        <v>7</v>
      </c>
      <c r="B15" s="46">
        <v>46027</v>
      </c>
      <c r="C15" s="42" t="s">
        <v>266</v>
      </c>
      <c r="D15" s="42" t="s">
        <v>267</v>
      </c>
      <c r="E15" s="43"/>
      <c r="F15" s="44"/>
      <c r="G15" s="43">
        <v>100</v>
      </c>
      <c r="H15" s="44"/>
      <c r="I15" s="43"/>
      <c r="J15" s="45"/>
    </row>
    <row r="16" spans="1:52">
      <c r="A16" s="41">
        <v>8</v>
      </c>
      <c r="B16" s="46">
        <v>46027</v>
      </c>
      <c r="C16" s="42" t="s">
        <v>268</v>
      </c>
      <c r="D16" s="42" t="s">
        <v>269</v>
      </c>
      <c r="E16" s="43"/>
      <c r="F16" s="44"/>
      <c r="G16" s="43">
        <v>700</v>
      </c>
      <c r="H16" s="44"/>
      <c r="I16" s="43"/>
      <c r="J16" s="45"/>
    </row>
    <row r="17" spans="1:10">
      <c r="A17" s="41">
        <v>9</v>
      </c>
      <c r="B17" s="46">
        <v>46027</v>
      </c>
      <c r="C17" s="42" t="s">
        <v>270</v>
      </c>
      <c r="D17" s="42" t="s">
        <v>271</v>
      </c>
      <c r="E17" s="43"/>
      <c r="F17" s="44"/>
      <c r="G17" s="43">
        <v>2100</v>
      </c>
      <c r="H17" s="44"/>
      <c r="I17" s="43"/>
      <c r="J17" s="45"/>
    </row>
    <row r="18" spans="1:10">
      <c r="A18" s="41">
        <v>10</v>
      </c>
      <c r="B18" s="46">
        <v>46027</v>
      </c>
      <c r="C18" s="42" t="s">
        <v>272</v>
      </c>
      <c r="D18" s="42" t="s">
        <v>273</v>
      </c>
      <c r="E18" s="43"/>
      <c r="F18" s="44"/>
      <c r="G18" s="43">
        <v>1000</v>
      </c>
      <c r="H18" s="44"/>
      <c r="I18" s="43"/>
      <c r="J18" s="45"/>
    </row>
    <row r="19" spans="1:10">
      <c r="A19" s="41">
        <v>11</v>
      </c>
      <c r="B19" s="46">
        <v>46027</v>
      </c>
      <c r="C19" s="42" t="s">
        <v>274</v>
      </c>
      <c r="D19" s="42" t="s">
        <v>275</v>
      </c>
      <c r="E19" s="43"/>
      <c r="F19" s="44"/>
      <c r="G19" s="43">
        <v>1000</v>
      </c>
      <c r="H19" s="44"/>
      <c r="I19" s="43"/>
      <c r="J19" s="45"/>
    </row>
    <row r="20" spans="1:10">
      <c r="A20" s="41">
        <v>12</v>
      </c>
      <c r="B20" s="46">
        <v>46027</v>
      </c>
      <c r="C20" s="42" t="s">
        <v>276</v>
      </c>
      <c r="D20" s="42" t="s">
        <v>277</v>
      </c>
      <c r="E20" s="43"/>
      <c r="F20" s="44"/>
      <c r="G20" s="43">
        <v>1000</v>
      </c>
      <c r="H20" s="44"/>
      <c r="I20" s="43"/>
      <c r="J20" s="45"/>
    </row>
    <row r="21" spans="1:10">
      <c r="A21" s="41">
        <v>13</v>
      </c>
      <c r="B21" s="46">
        <v>46027</v>
      </c>
      <c r="C21" s="42" t="s">
        <v>278</v>
      </c>
      <c r="D21" s="42" t="s">
        <v>279</v>
      </c>
      <c r="E21" s="43"/>
      <c r="F21" s="44"/>
      <c r="G21" s="43">
        <v>200</v>
      </c>
      <c r="H21" s="44"/>
      <c r="I21" s="43"/>
      <c r="J21" s="45"/>
    </row>
    <row r="22" spans="1:10">
      <c r="A22" s="41">
        <v>14</v>
      </c>
      <c r="B22" s="46">
        <v>46027</v>
      </c>
      <c r="C22" s="42" t="s">
        <v>280</v>
      </c>
      <c r="D22" s="42" t="s">
        <v>281</v>
      </c>
      <c r="E22" s="43"/>
      <c r="F22" s="44"/>
      <c r="G22" s="43">
        <v>113.83</v>
      </c>
      <c r="H22" s="44"/>
      <c r="I22" s="43"/>
      <c r="J22" s="45"/>
    </row>
    <row r="23" spans="1:10">
      <c r="A23" s="41">
        <v>15</v>
      </c>
      <c r="B23" s="46">
        <v>46027</v>
      </c>
      <c r="C23" s="42" t="s">
        <v>282</v>
      </c>
      <c r="D23" s="42" t="s">
        <v>283</v>
      </c>
      <c r="E23" s="43"/>
      <c r="F23" s="44"/>
      <c r="G23" s="43">
        <v>225.86</v>
      </c>
      <c r="H23" s="44"/>
      <c r="I23" s="43"/>
      <c r="J23" s="45"/>
    </row>
    <row r="24" spans="1:10">
      <c r="A24" s="41">
        <v>16</v>
      </c>
      <c r="B24" s="46">
        <v>46027</v>
      </c>
      <c r="C24" s="42" t="s">
        <v>284</v>
      </c>
      <c r="D24" s="42" t="s">
        <v>285</v>
      </c>
      <c r="E24" s="43"/>
      <c r="F24" s="44"/>
      <c r="G24" s="43">
        <v>1500</v>
      </c>
      <c r="H24" s="44"/>
      <c r="I24" s="43"/>
      <c r="J24" s="45"/>
    </row>
    <row r="25" spans="1:10">
      <c r="A25" s="41">
        <v>17</v>
      </c>
      <c r="B25" s="46">
        <v>46027</v>
      </c>
      <c r="C25" s="42" t="s">
        <v>286</v>
      </c>
      <c r="D25" s="42" t="s">
        <v>287</v>
      </c>
      <c r="E25" s="43"/>
      <c r="F25" s="44"/>
      <c r="G25" s="43">
        <v>108.74</v>
      </c>
      <c r="H25" s="44"/>
      <c r="I25" s="43"/>
      <c r="J25" s="45"/>
    </row>
    <row r="26" spans="1:10">
      <c r="A26" s="41">
        <v>18</v>
      </c>
      <c r="B26" s="46">
        <v>46027</v>
      </c>
      <c r="C26" s="42" t="s">
        <v>288</v>
      </c>
      <c r="D26" s="42" t="s">
        <v>289</v>
      </c>
      <c r="E26" s="43"/>
      <c r="F26" s="44"/>
      <c r="G26" s="43">
        <v>1000</v>
      </c>
      <c r="H26" s="44"/>
      <c r="I26" s="43"/>
      <c r="J26" s="45"/>
    </row>
    <row r="27" spans="1:10">
      <c r="A27" s="41">
        <v>19</v>
      </c>
      <c r="B27" s="46">
        <v>46027</v>
      </c>
      <c r="C27" s="42" t="s">
        <v>290</v>
      </c>
      <c r="D27" s="42" t="s">
        <v>291</v>
      </c>
      <c r="E27" s="43"/>
      <c r="F27" s="44"/>
      <c r="G27" s="43">
        <v>491.34</v>
      </c>
      <c r="H27" s="44"/>
      <c r="I27" s="43"/>
      <c r="J27" s="45"/>
    </row>
    <row r="28" spans="1:10">
      <c r="A28" s="41">
        <v>20</v>
      </c>
      <c r="B28" s="46">
        <v>46027</v>
      </c>
      <c r="C28" s="42" t="s">
        <v>292</v>
      </c>
      <c r="D28" s="42" t="s">
        <v>293</v>
      </c>
      <c r="E28" s="43"/>
      <c r="F28" s="44"/>
      <c r="G28" s="43">
        <v>2000</v>
      </c>
      <c r="H28" s="44"/>
      <c r="I28" s="43"/>
      <c r="J28" s="45"/>
    </row>
    <row r="29" spans="1:10">
      <c r="A29" s="41">
        <v>21</v>
      </c>
      <c r="B29" s="46">
        <v>46027</v>
      </c>
      <c r="C29" s="42" t="s">
        <v>294</v>
      </c>
      <c r="D29" s="42" t="s">
        <v>295</v>
      </c>
      <c r="E29" s="43"/>
      <c r="F29" s="44"/>
      <c r="G29" s="43">
        <v>1600</v>
      </c>
      <c r="H29" s="44"/>
      <c r="I29" s="43"/>
      <c r="J29" s="45"/>
    </row>
    <row r="30" spans="1:10">
      <c r="A30" s="41">
        <v>22</v>
      </c>
      <c r="B30" s="46">
        <v>46027</v>
      </c>
      <c r="C30" s="42" t="s">
        <v>296</v>
      </c>
      <c r="D30" s="42" t="s">
        <v>297</v>
      </c>
      <c r="E30" s="43"/>
      <c r="F30" s="44"/>
      <c r="G30" s="43">
        <v>800</v>
      </c>
      <c r="H30" s="44"/>
      <c r="I30" s="43"/>
      <c r="J30" s="45"/>
    </row>
    <row r="31" spans="1:10">
      <c r="A31" s="41">
        <v>23</v>
      </c>
      <c r="B31" s="46">
        <v>46027</v>
      </c>
      <c r="C31" s="42" t="s">
        <v>298</v>
      </c>
      <c r="D31" s="42" t="s">
        <v>299</v>
      </c>
      <c r="E31" s="43"/>
      <c r="F31" s="44"/>
      <c r="G31" s="43">
        <v>800</v>
      </c>
      <c r="H31" s="44"/>
      <c r="I31" s="43"/>
      <c r="J31" s="45"/>
    </row>
    <row r="32" spans="1:10">
      <c r="A32" s="41">
        <v>24</v>
      </c>
      <c r="B32" s="46">
        <v>46027</v>
      </c>
      <c r="C32" s="42" t="s">
        <v>300</v>
      </c>
      <c r="D32" s="42" t="s">
        <v>301</v>
      </c>
      <c r="E32" s="43"/>
      <c r="F32" s="44"/>
      <c r="G32" s="43">
        <v>2500</v>
      </c>
      <c r="H32" s="44"/>
      <c r="I32" s="43"/>
      <c r="J32" s="45"/>
    </row>
    <row r="33" spans="1:10">
      <c r="A33" s="41">
        <v>25</v>
      </c>
      <c r="B33" s="46">
        <v>46027</v>
      </c>
      <c r="C33" s="42" t="s">
        <v>302</v>
      </c>
      <c r="D33" s="42" t="s">
        <v>303</v>
      </c>
      <c r="E33" s="43"/>
      <c r="F33" s="44"/>
      <c r="G33" s="43">
        <v>2500</v>
      </c>
      <c r="H33" s="44"/>
      <c r="I33" s="43"/>
      <c r="J33" s="45"/>
    </row>
    <row r="34" spans="1:10">
      <c r="A34" s="41">
        <v>26</v>
      </c>
      <c r="B34" s="46">
        <v>46027</v>
      </c>
      <c r="C34" s="42" t="s">
        <v>304</v>
      </c>
      <c r="D34" s="42" t="s">
        <v>305</v>
      </c>
      <c r="E34" s="43"/>
      <c r="F34" s="44"/>
      <c r="G34" s="43">
        <v>100</v>
      </c>
      <c r="H34" s="44"/>
      <c r="I34" s="43"/>
      <c r="J34" s="45"/>
    </row>
    <row r="35" spans="1:10">
      <c r="A35" s="41">
        <v>27</v>
      </c>
      <c r="B35" s="46">
        <v>46027</v>
      </c>
      <c r="C35" s="42" t="s">
        <v>306</v>
      </c>
      <c r="D35" s="42" t="s">
        <v>119</v>
      </c>
      <c r="E35" s="43"/>
      <c r="F35" s="44"/>
      <c r="G35" s="43">
        <v>300</v>
      </c>
      <c r="H35" s="44"/>
      <c r="I35" s="43"/>
      <c r="J35" s="45"/>
    </row>
    <row r="36" spans="1:10">
      <c r="A36" s="41">
        <v>28</v>
      </c>
      <c r="B36" s="46">
        <v>46027</v>
      </c>
      <c r="C36" s="42" t="s">
        <v>307</v>
      </c>
      <c r="D36" s="42" t="s">
        <v>308</v>
      </c>
      <c r="E36" s="43"/>
      <c r="F36" s="44"/>
      <c r="G36" s="43">
        <v>800</v>
      </c>
      <c r="H36" s="44"/>
      <c r="I36" s="43"/>
      <c r="J36" s="45"/>
    </row>
    <row r="37" spans="1:10">
      <c r="A37" s="41">
        <v>29</v>
      </c>
      <c r="B37" s="46">
        <v>46027</v>
      </c>
      <c r="C37" s="42" t="s">
        <v>309</v>
      </c>
      <c r="D37" s="42" t="s">
        <v>308</v>
      </c>
      <c r="E37" s="43"/>
      <c r="F37" s="44"/>
      <c r="G37" s="43">
        <v>800</v>
      </c>
      <c r="H37" s="44"/>
      <c r="I37" s="43"/>
      <c r="J37" s="45"/>
    </row>
    <row r="38" spans="1:10">
      <c r="A38" s="41">
        <v>30</v>
      </c>
      <c r="B38" s="46">
        <v>46027</v>
      </c>
      <c r="C38" s="42" t="s">
        <v>310</v>
      </c>
      <c r="D38" s="42" t="s">
        <v>311</v>
      </c>
      <c r="E38" s="43"/>
      <c r="F38" s="44"/>
      <c r="G38" s="43">
        <v>200</v>
      </c>
      <c r="H38" s="44"/>
      <c r="I38" s="43"/>
      <c r="J38" s="45"/>
    </row>
    <row r="39" spans="1:10">
      <c r="A39" s="41">
        <v>31</v>
      </c>
      <c r="B39" s="46">
        <v>46027</v>
      </c>
      <c r="C39" s="42" t="s">
        <v>312</v>
      </c>
      <c r="D39" s="42" t="s">
        <v>313</v>
      </c>
      <c r="E39" s="43"/>
      <c r="F39" s="44"/>
      <c r="G39" s="43">
        <v>600</v>
      </c>
      <c r="H39" s="44"/>
      <c r="I39" s="43"/>
      <c r="J39" s="45"/>
    </row>
    <row r="40" spans="1:10">
      <c r="A40" s="41">
        <v>32</v>
      </c>
      <c r="B40" s="46">
        <v>46027</v>
      </c>
      <c r="C40" s="42" t="s">
        <v>314</v>
      </c>
      <c r="D40" s="42" t="s">
        <v>315</v>
      </c>
      <c r="E40" s="43"/>
      <c r="F40" s="44"/>
      <c r="G40" s="43">
        <v>300</v>
      </c>
      <c r="H40" s="44"/>
      <c r="I40" s="43"/>
      <c r="J40" s="52"/>
    </row>
    <row r="41" spans="1:10" s="9" customFormat="1" ht="12.45">
      <c r="A41" s="41">
        <v>33</v>
      </c>
      <c r="B41" s="46">
        <v>46027</v>
      </c>
      <c r="C41" s="42" t="s">
        <v>316</v>
      </c>
      <c r="D41" s="42" t="s">
        <v>315</v>
      </c>
      <c r="E41" s="43"/>
      <c r="F41" s="44"/>
      <c r="G41" s="43">
        <v>300</v>
      </c>
      <c r="H41" s="44"/>
      <c r="I41" s="43"/>
      <c r="J41" s="45"/>
    </row>
    <row r="42" spans="1:10" s="9" customFormat="1" ht="12.45">
      <c r="A42" s="41">
        <v>34</v>
      </c>
      <c r="B42" s="46">
        <v>46027</v>
      </c>
      <c r="C42" s="42" t="s">
        <v>317</v>
      </c>
      <c r="D42" s="42" t="s">
        <v>318</v>
      </c>
      <c r="E42" s="43"/>
      <c r="F42" s="44"/>
      <c r="G42" s="43">
        <v>1710.94</v>
      </c>
      <c r="H42" s="44"/>
      <c r="I42" s="43"/>
      <c r="J42" s="45"/>
    </row>
    <row r="43" spans="1:10" s="9" customFormat="1" ht="12.45">
      <c r="A43" s="41">
        <v>35</v>
      </c>
      <c r="B43" s="46">
        <v>46027</v>
      </c>
      <c r="C43" s="42" t="s">
        <v>319</v>
      </c>
      <c r="D43" s="42" t="s">
        <v>167</v>
      </c>
      <c r="E43" s="43"/>
      <c r="F43" s="44"/>
      <c r="G43" s="43">
        <v>895</v>
      </c>
      <c r="H43" s="44"/>
      <c r="I43" s="43"/>
      <c r="J43" s="45"/>
    </row>
    <row r="44" spans="1:10">
      <c r="A44" s="41">
        <v>36</v>
      </c>
      <c r="B44" s="46">
        <v>46027</v>
      </c>
      <c r="C44" s="42" t="s">
        <v>320</v>
      </c>
      <c r="D44" s="42" t="s">
        <v>321</v>
      </c>
      <c r="E44" s="43"/>
      <c r="F44" s="44"/>
      <c r="G44" s="43">
        <v>200</v>
      </c>
      <c r="H44" s="44"/>
      <c r="I44" s="43"/>
      <c r="J44" s="45"/>
    </row>
    <row r="45" spans="1:10">
      <c r="A45" s="41">
        <v>37</v>
      </c>
      <c r="B45" s="46">
        <v>46027</v>
      </c>
      <c r="C45" s="42" t="s">
        <v>322</v>
      </c>
      <c r="D45" s="42" t="s">
        <v>323</v>
      </c>
      <c r="E45" s="43"/>
      <c r="F45" s="44"/>
      <c r="G45" s="43">
        <v>76.61</v>
      </c>
      <c r="H45" s="44"/>
      <c r="I45" s="43"/>
      <c r="J45" s="45"/>
    </row>
    <row r="46" spans="1:10">
      <c r="A46" s="41">
        <v>38</v>
      </c>
      <c r="B46" s="46">
        <v>46027</v>
      </c>
      <c r="C46" s="42" t="s">
        <v>324</v>
      </c>
      <c r="D46" s="42" t="s">
        <v>325</v>
      </c>
      <c r="E46" s="43"/>
      <c r="F46" s="44"/>
      <c r="G46" s="43">
        <v>500</v>
      </c>
      <c r="H46" s="44"/>
      <c r="I46" s="43"/>
      <c r="J46" s="45"/>
    </row>
    <row r="47" spans="1:10">
      <c r="A47" s="41">
        <v>39</v>
      </c>
      <c r="B47" s="46">
        <v>46027</v>
      </c>
      <c r="C47" s="42" t="s">
        <v>326</v>
      </c>
      <c r="D47" s="42" t="s">
        <v>327</v>
      </c>
      <c r="E47" s="43"/>
      <c r="F47" s="44"/>
      <c r="G47" s="43">
        <v>1500</v>
      </c>
      <c r="H47" s="44"/>
      <c r="I47" s="43"/>
      <c r="J47" s="45"/>
    </row>
    <row r="48" spans="1:10">
      <c r="A48" s="41">
        <v>40</v>
      </c>
      <c r="B48" s="46">
        <v>46027</v>
      </c>
      <c r="C48" s="42" t="s">
        <v>328</v>
      </c>
      <c r="D48" s="42" t="s">
        <v>329</v>
      </c>
      <c r="E48" s="43"/>
      <c r="F48" s="44"/>
      <c r="G48" s="43">
        <v>500</v>
      </c>
      <c r="H48" s="44"/>
      <c r="I48" s="43"/>
      <c r="J48" s="45"/>
    </row>
    <row r="49" spans="1:10">
      <c r="A49" s="41">
        <v>41</v>
      </c>
      <c r="B49" s="46">
        <v>46027</v>
      </c>
      <c r="C49" s="42" t="s">
        <v>330</v>
      </c>
      <c r="D49" s="42" t="s">
        <v>331</v>
      </c>
      <c r="E49" s="43"/>
      <c r="F49" s="44"/>
      <c r="G49" s="43">
        <v>600</v>
      </c>
      <c r="H49" s="44"/>
      <c r="I49" s="43"/>
      <c r="J49" s="45"/>
    </row>
    <row r="50" spans="1:10">
      <c r="A50" s="41">
        <v>42</v>
      </c>
      <c r="B50" s="46">
        <v>46027</v>
      </c>
      <c r="C50" s="42" t="s">
        <v>332</v>
      </c>
      <c r="D50" s="42" t="s">
        <v>333</v>
      </c>
      <c r="E50" s="43"/>
      <c r="F50" s="44"/>
      <c r="G50" s="43">
        <v>950</v>
      </c>
      <c r="H50" s="44"/>
      <c r="I50" s="43"/>
      <c r="J50" s="45"/>
    </row>
    <row r="51" spans="1:10">
      <c r="A51" s="41">
        <v>43</v>
      </c>
      <c r="B51" s="46">
        <v>46027</v>
      </c>
      <c r="C51" s="42" t="s">
        <v>334</v>
      </c>
      <c r="D51" s="42" t="s">
        <v>335</v>
      </c>
      <c r="E51" s="43"/>
      <c r="F51" s="44"/>
      <c r="G51" s="43">
        <v>1125</v>
      </c>
      <c r="H51" s="44"/>
      <c r="I51" s="43"/>
      <c r="J51" s="45"/>
    </row>
    <row r="52" spans="1:10">
      <c r="A52" s="41">
        <v>44</v>
      </c>
      <c r="B52" s="46">
        <v>46027</v>
      </c>
      <c r="C52" s="42" t="s">
        <v>336</v>
      </c>
      <c r="D52" s="42" t="s">
        <v>337</v>
      </c>
      <c r="E52" s="43"/>
      <c r="F52" s="44"/>
      <c r="G52" s="43">
        <v>194.83</v>
      </c>
      <c r="H52" s="44"/>
      <c r="I52" s="43"/>
      <c r="J52" s="45"/>
    </row>
    <row r="53" spans="1:10">
      <c r="A53" s="41">
        <v>45</v>
      </c>
      <c r="B53" s="46">
        <v>46027</v>
      </c>
      <c r="C53" s="42" t="s">
        <v>338</v>
      </c>
      <c r="D53" s="42" t="s">
        <v>339</v>
      </c>
      <c r="E53" s="43"/>
      <c r="F53" s="44"/>
      <c r="G53" s="43">
        <v>500</v>
      </c>
      <c r="H53" s="44"/>
      <c r="I53" s="43"/>
      <c r="J53" s="45"/>
    </row>
    <row r="54" spans="1:10">
      <c r="A54" s="41">
        <v>46</v>
      </c>
      <c r="B54" s="46">
        <v>46027</v>
      </c>
      <c r="C54" s="42" t="s">
        <v>340</v>
      </c>
      <c r="D54" s="42" t="s">
        <v>341</v>
      </c>
      <c r="E54" s="43"/>
      <c r="F54" s="44"/>
      <c r="G54" s="43">
        <v>200</v>
      </c>
      <c r="H54" s="44"/>
      <c r="I54" s="43"/>
      <c r="J54" s="45"/>
    </row>
    <row r="55" spans="1:10">
      <c r="A55" s="41">
        <v>47</v>
      </c>
      <c r="B55" s="46">
        <v>46027</v>
      </c>
      <c r="C55" s="42" t="s">
        <v>342</v>
      </c>
      <c r="D55" s="42" t="s">
        <v>343</v>
      </c>
      <c r="E55" s="43"/>
      <c r="F55" s="44"/>
      <c r="G55" s="43">
        <v>310.54000000000002</v>
      </c>
      <c r="H55" s="44"/>
      <c r="I55" s="43"/>
      <c r="J55" s="45"/>
    </row>
    <row r="56" spans="1:10">
      <c r="A56" s="41">
        <v>48</v>
      </c>
      <c r="B56" s="46">
        <v>46027</v>
      </c>
      <c r="C56" s="42" t="s">
        <v>344</v>
      </c>
      <c r="D56" s="42" t="s">
        <v>345</v>
      </c>
      <c r="E56" s="43"/>
      <c r="F56" s="44"/>
      <c r="G56" s="43">
        <v>84.8</v>
      </c>
      <c r="H56" s="44"/>
      <c r="I56" s="43"/>
      <c r="J56" s="45"/>
    </row>
    <row r="57" spans="1:10">
      <c r="A57" s="41">
        <v>49</v>
      </c>
      <c r="B57" s="46">
        <v>46027</v>
      </c>
      <c r="C57" s="42" t="s">
        <v>346</v>
      </c>
      <c r="D57" s="42" t="s">
        <v>347</v>
      </c>
      <c r="E57" s="43"/>
      <c r="F57" s="44"/>
      <c r="G57" s="43">
        <v>1059</v>
      </c>
      <c r="H57" s="44"/>
      <c r="I57" s="43"/>
      <c r="J57" s="45"/>
    </row>
    <row r="58" spans="1:10">
      <c r="A58" s="41">
        <v>50</v>
      </c>
      <c r="B58" s="46">
        <v>46027</v>
      </c>
      <c r="C58" s="42" t="s">
        <v>348</v>
      </c>
      <c r="D58" s="42" t="s">
        <v>349</v>
      </c>
      <c r="E58" s="43"/>
      <c r="F58" s="44"/>
      <c r="G58" s="43">
        <v>400</v>
      </c>
      <c r="H58" s="44"/>
      <c r="I58" s="43"/>
      <c r="J58" s="45"/>
    </row>
    <row r="59" spans="1:10">
      <c r="A59" s="41">
        <v>51</v>
      </c>
      <c r="B59" s="46">
        <v>46027</v>
      </c>
      <c r="C59" s="42" t="s">
        <v>350</v>
      </c>
      <c r="D59" s="42" t="s">
        <v>351</v>
      </c>
      <c r="E59" s="43"/>
      <c r="F59" s="44"/>
      <c r="G59" s="43">
        <v>291.35000000000002</v>
      </c>
      <c r="H59" s="44"/>
      <c r="I59" s="43"/>
      <c r="J59" s="45"/>
    </row>
    <row r="60" spans="1:10">
      <c r="A60" s="41">
        <v>52</v>
      </c>
      <c r="B60" s="46">
        <v>46027</v>
      </c>
      <c r="C60" s="42" t="s">
        <v>352</v>
      </c>
      <c r="D60" s="42" t="s">
        <v>353</v>
      </c>
      <c r="E60" s="43"/>
      <c r="F60" s="44"/>
      <c r="G60" s="43">
        <v>2000</v>
      </c>
      <c r="H60" s="44"/>
      <c r="I60" s="43"/>
      <c r="J60" s="45"/>
    </row>
    <row r="61" spans="1:10">
      <c r="A61" s="41">
        <v>53</v>
      </c>
      <c r="B61" s="46">
        <v>46027</v>
      </c>
      <c r="C61" s="42" t="s">
        <v>354</v>
      </c>
      <c r="D61" s="42" t="s">
        <v>355</v>
      </c>
      <c r="E61" s="43"/>
      <c r="F61" s="44"/>
      <c r="G61" s="43">
        <v>4300</v>
      </c>
      <c r="H61" s="44"/>
      <c r="I61" s="43"/>
      <c r="J61" s="45"/>
    </row>
    <row r="62" spans="1:10">
      <c r="A62" s="41">
        <v>54</v>
      </c>
      <c r="B62" s="46">
        <v>46027</v>
      </c>
      <c r="C62" s="42" t="s">
        <v>356</v>
      </c>
      <c r="D62" s="42" t="s">
        <v>357</v>
      </c>
      <c r="E62" s="43"/>
      <c r="F62" s="44"/>
      <c r="G62" s="43">
        <v>500</v>
      </c>
      <c r="H62" s="44"/>
      <c r="I62" s="43"/>
      <c r="J62" s="45"/>
    </row>
    <row r="63" spans="1:10">
      <c r="A63" s="41">
        <v>55</v>
      </c>
      <c r="B63" s="46">
        <v>46027</v>
      </c>
      <c r="C63" s="42" t="s">
        <v>358</v>
      </c>
      <c r="D63" s="42" t="s">
        <v>357</v>
      </c>
      <c r="E63" s="43"/>
      <c r="F63" s="44"/>
      <c r="G63" s="43">
        <v>750</v>
      </c>
      <c r="H63" s="44"/>
      <c r="I63" s="43"/>
      <c r="J63" s="45"/>
    </row>
    <row r="64" spans="1:10">
      <c r="A64" s="41">
        <v>56</v>
      </c>
      <c r="B64" s="46">
        <v>46027</v>
      </c>
      <c r="C64" s="42" t="s">
        <v>359</v>
      </c>
      <c r="D64" s="42" t="s">
        <v>360</v>
      </c>
      <c r="E64" s="43"/>
      <c r="F64" s="44"/>
      <c r="G64" s="43">
        <v>387.98</v>
      </c>
      <c r="H64" s="44"/>
      <c r="I64" s="43"/>
      <c r="J64" s="45"/>
    </row>
    <row r="65" spans="1:10">
      <c r="A65" s="41">
        <v>57</v>
      </c>
      <c r="B65" s="46">
        <v>46027</v>
      </c>
      <c r="C65" s="42" t="s">
        <v>361</v>
      </c>
      <c r="D65" s="42" t="s">
        <v>362</v>
      </c>
      <c r="E65" s="43"/>
      <c r="F65" s="44"/>
      <c r="G65" s="43">
        <v>800</v>
      </c>
      <c r="H65" s="44"/>
      <c r="I65" s="43"/>
      <c r="J65" s="45"/>
    </row>
    <row r="66" spans="1:10">
      <c r="A66" s="41">
        <v>58</v>
      </c>
      <c r="B66" s="46">
        <v>46027</v>
      </c>
      <c r="C66" s="42" t="s">
        <v>363</v>
      </c>
      <c r="D66" s="42" t="s">
        <v>364</v>
      </c>
      <c r="E66" s="43"/>
      <c r="F66" s="44"/>
      <c r="G66" s="43">
        <v>152.79</v>
      </c>
      <c r="H66" s="44"/>
      <c r="I66" s="43"/>
      <c r="J66" s="45"/>
    </row>
    <row r="67" spans="1:10">
      <c r="A67" s="41">
        <v>59</v>
      </c>
      <c r="B67" s="46">
        <v>46027</v>
      </c>
      <c r="C67" s="42" t="s">
        <v>365</v>
      </c>
      <c r="D67" s="42" t="s">
        <v>366</v>
      </c>
      <c r="E67" s="43"/>
      <c r="F67" s="44"/>
      <c r="G67" s="43">
        <v>1500</v>
      </c>
      <c r="H67" s="44"/>
      <c r="I67" s="43"/>
      <c r="J67" s="45"/>
    </row>
    <row r="68" spans="1:10">
      <c r="A68" s="41">
        <v>60</v>
      </c>
      <c r="B68" s="46">
        <v>46027</v>
      </c>
      <c r="C68" s="42" t="s">
        <v>367</v>
      </c>
      <c r="D68" s="42" t="s">
        <v>368</v>
      </c>
      <c r="E68" s="43"/>
      <c r="F68" s="44"/>
      <c r="G68" s="43">
        <v>300</v>
      </c>
      <c r="H68" s="44"/>
      <c r="I68" s="43"/>
      <c r="J68" s="45"/>
    </row>
    <row r="69" spans="1:10">
      <c r="A69" s="41">
        <v>61</v>
      </c>
      <c r="B69" s="46">
        <v>46027</v>
      </c>
      <c r="C69" s="42" t="s">
        <v>369</v>
      </c>
      <c r="D69" s="42" t="s">
        <v>370</v>
      </c>
      <c r="E69" s="43"/>
      <c r="F69" s="44"/>
      <c r="G69" s="43">
        <v>200</v>
      </c>
      <c r="H69" s="44"/>
      <c r="I69" s="43"/>
      <c r="J69" s="45"/>
    </row>
    <row r="70" spans="1:10">
      <c r="A70" s="41">
        <v>62</v>
      </c>
      <c r="B70" s="46">
        <v>46027</v>
      </c>
      <c r="C70" s="42" t="s">
        <v>371</v>
      </c>
      <c r="D70" s="42" t="s">
        <v>372</v>
      </c>
      <c r="E70" s="43"/>
      <c r="F70" s="44"/>
      <c r="G70" s="43">
        <v>603.15</v>
      </c>
      <c r="H70" s="44"/>
      <c r="I70" s="43"/>
      <c r="J70" s="45"/>
    </row>
    <row r="71" spans="1:10">
      <c r="A71" s="41">
        <v>63</v>
      </c>
      <c r="B71" s="46">
        <v>46027</v>
      </c>
      <c r="C71" s="42" t="s">
        <v>373</v>
      </c>
      <c r="D71" s="42" t="s">
        <v>374</v>
      </c>
      <c r="E71" s="43"/>
      <c r="F71" s="44"/>
      <c r="G71" s="43">
        <v>400</v>
      </c>
      <c r="H71" s="44"/>
      <c r="I71" s="43"/>
      <c r="J71" s="45"/>
    </row>
    <row r="72" spans="1:10">
      <c r="A72" s="41">
        <v>64</v>
      </c>
      <c r="B72" s="46">
        <v>46027</v>
      </c>
      <c r="C72" s="42" t="s">
        <v>375</v>
      </c>
      <c r="D72" s="42" t="s">
        <v>376</v>
      </c>
      <c r="E72" s="43"/>
      <c r="F72" s="44"/>
      <c r="G72" s="43">
        <v>400</v>
      </c>
      <c r="H72" s="44"/>
      <c r="I72" s="43"/>
      <c r="J72" s="45"/>
    </row>
    <row r="73" spans="1:10">
      <c r="A73" s="41">
        <v>65</v>
      </c>
      <c r="B73" s="46">
        <v>46027</v>
      </c>
      <c r="C73" s="42" t="s">
        <v>377</v>
      </c>
      <c r="D73" s="42" t="s">
        <v>378</v>
      </c>
      <c r="E73" s="43"/>
      <c r="F73" s="44"/>
      <c r="G73" s="43">
        <v>193.92</v>
      </c>
      <c r="H73" s="44"/>
      <c r="I73" s="43"/>
      <c r="J73" s="45"/>
    </row>
    <row r="74" spans="1:10">
      <c r="A74" s="41">
        <v>66</v>
      </c>
      <c r="B74" s="46">
        <v>46027</v>
      </c>
      <c r="C74" s="42" t="s">
        <v>379</v>
      </c>
      <c r="D74" s="42" t="s">
        <v>380</v>
      </c>
      <c r="E74" s="43"/>
      <c r="F74" s="44"/>
      <c r="G74" s="43">
        <v>2500</v>
      </c>
      <c r="H74" s="44"/>
      <c r="I74" s="43"/>
      <c r="J74" s="45"/>
    </row>
    <row r="75" spans="1:10">
      <c r="A75" s="41">
        <v>67</v>
      </c>
      <c r="B75" s="46">
        <v>46027</v>
      </c>
      <c r="C75" s="42" t="s">
        <v>381</v>
      </c>
      <c r="D75" s="42" t="s">
        <v>382</v>
      </c>
      <c r="E75" s="43"/>
      <c r="F75" s="44"/>
      <c r="G75" s="43">
        <v>700</v>
      </c>
      <c r="H75" s="44"/>
      <c r="I75" s="43"/>
      <c r="J75" s="45"/>
    </row>
    <row r="76" spans="1:10">
      <c r="A76" s="41">
        <v>68</v>
      </c>
      <c r="B76" s="46">
        <v>46027</v>
      </c>
      <c r="C76" s="42" t="s">
        <v>383</v>
      </c>
      <c r="D76" s="42" t="s">
        <v>384</v>
      </c>
      <c r="E76" s="43"/>
      <c r="F76" s="44"/>
      <c r="G76" s="43">
        <v>700</v>
      </c>
      <c r="H76" s="44"/>
      <c r="I76" s="43"/>
      <c r="J76" s="45"/>
    </row>
    <row r="77" spans="1:10">
      <c r="A77" s="41">
        <v>69</v>
      </c>
      <c r="B77" s="46">
        <v>46027</v>
      </c>
      <c r="C77" s="42" t="s">
        <v>385</v>
      </c>
      <c r="D77" s="42" t="s">
        <v>386</v>
      </c>
      <c r="E77" s="43"/>
      <c r="F77" s="44"/>
      <c r="G77" s="43">
        <v>4500</v>
      </c>
      <c r="H77" s="44"/>
      <c r="I77" s="43"/>
      <c r="J77" s="45"/>
    </row>
    <row r="78" spans="1:10">
      <c r="A78" s="41">
        <v>70</v>
      </c>
      <c r="B78" s="46">
        <v>46027</v>
      </c>
      <c r="C78" s="42" t="s">
        <v>387</v>
      </c>
      <c r="D78" s="42" t="s">
        <v>386</v>
      </c>
      <c r="E78" s="43"/>
      <c r="F78" s="44"/>
      <c r="G78" s="43">
        <v>2500</v>
      </c>
      <c r="H78" s="44"/>
      <c r="I78" s="43"/>
      <c r="J78" s="45"/>
    </row>
    <row r="79" spans="1:10">
      <c r="A79" s="41">
        <v>71</v>
      </c>
      <c r="B79" s="46">
        <v>46027</v>
      </c>
      <c r="C79" s="42" t="s">
        <v>388</v>
      </c>
      <c r="D79" s="42" t="s">
        <v>386</v>
      </c>
      <c r="E79" s="43"/>
      <c r="F79" s="44"/>
      <c r="G79" s="43">
        <v>2500</v>
      </c>
      <c r="H79" s="44"/>
      <c r="I79" s="43"/>
      <c r="J79" s="45"/>
    </row>
    <row r="80" spans="1:10">
      <c r="A80" s="41">
        <v>72</v>
      </c>
      <c r="B80" s="46">
        <v>46027</v>
      </c>
      <c r="C80" s="42" t="s">
        <v>389</v>
      </c>
      <c r="D80" s="42" t="s">
        <v>390</v>
      </c>
      <c r="E80" s="43"/>
      <c r="F80" s="44"/>
      <c r="G80" s="43">
        <v>2500</v>
      </c>
      <c r="H80" s="44"/>
      <c r="I80" s="43"/>
      <c r="J80" s="45"/>
    </row>
    <row r="81" spans="1:10">
      <c r="A81" s="41">
        <v>73</v>
      </c>
      <c r="B81" s="46">
        <v>46027</v>
      </c>
      <c r="C81" s="42" t="s">
        <v>391</v>
      </c>
      <c r="D81" s="42" t="s">
        <v>392</v>
      </c>
      <c r="E81" s="43"/>
      <c r="F81" s="44"/>
      <c r="G81" s="43">
        <v>1140.76</v>
      </c>
      <c r="H81" s="44"/>
      <c r="I81" s="43"/>
      <c r="J81" s="45"/>
    </row>
    <row r="82" spans="1:10">
      <c r="A82" s="41">
        <v>74</v>
      </c>
      <c r="B82" s="46">
        <v>46027</v>
      </c>
      <c r="C82" s="42" t="s">
        <v>393</v>
      </c>
      <c r="D82" s="42" t="s">
        <v>394</v>
      </c>
      <c r="E82" s="43"/>
      <c r="F82" s="44"/>
      <c r="G82" s="43">
        <v>1000</v>
      </c>
      <c r="H82" s="44"/>
      <c r="I82" s="43"/>
      <c r="J82" s="45"/>
    </row>
    <row r="83" spans="1:10">
      <c r="A83" s="41">
        <v>75</v>
      </c>
      <c r="B83" s="46">
        <v>46027</v>
      </c>
      <c r="C83" s="42" t="s">
        <v>395</v>
      </c>
      <c r="D83" s="42" t="s">
        <v>396</v>
      </c>
      <c r="E83" s="43"/>
      <c r="F83" s="44"/>
      <c r="G83" s="43">
        <v>2500</v>
      </c>
      <c r="H83" s="44"/>
      <c r="I83" s="43"/>
      <c r="J83" s="45"/>
    </row>
    <row r="84" spans="1:10">
      <c r="A84" s="41">
        <v>76</v>
      </c>
      <c r="B84" s="46">
        <v>46027</v>
      </c>
      <c r="C84" s="42" t="s">
        <v>397</v>
      </c>
      <c r="D84" s="42" t="s">
        <v>398</v>
      </c>
      <c r="E84" s="43"/>
      <c r="F84" s="44"/>
      <c r="G84" s="43">
        <v>2000</v>
      </c>
      <c r="H84" s="44"/>
      <c r="I84" s="43"/>
      <c r="J84" s="45"/>
    </row>
    <row r="85" spans="1:10">
      <c r="A85" s="41">
        <v>77</v>
      </c>
      <c r="B85" s="46">
        <v>46027</v>
      </c>
      <c r="C85" s="42" t="s">
        <v>399</v>
      </c>
      <c r="D85" s="42" t="s">
        <v>400</v>
      </c>
      <c r="E85" s="43"/>
      <c r="F85" s="44"/>
      <c r="G85" s="43">
        <v>900</v>
      </c>
      <c r="H85" s="44"/>
      <c r="I85" s="43"/>
      <c r="J85" s="45"/>
    </row>
    <row r="86" spans="1:10">
      <c r="A86" s="41">
        <v>78</v>
      </c>
      <c r="B86" s="46">
        <v>46027</v>
      </c>
      <c r="C86" s="42" t="s">
        <v>401</v>
      </c>
      <c r="D86" s="42" t="s">
        <v>402</v>
      </c>
      <c r="E86" s="43"/>
      <c r="F86" s="44"/>
      <c r="G86" s="43">
        <v>1000</v>
      </c>
      <c r="H86" s="44"/>
      <c r="I86" s="43"/>
      <c r="J86" s="45"/>
    </row>
    <row r="87" spans="1:10">
      <c r="A87" s="41">
        <v>79</v>
      </c>
      <c r="B87" s="46">
        <v>46027</v>
      </c>
      <c r="C87" s="42" t="s">
        <v>403</v>
      </c>
      <c r="D87" s="42" t="s">
        <v>404</v>
      </c>
      <c r="E87" s="43"/>
      <c r="F87" s="44"/>
      <c r="G87" s="43">
        <v>500</v>
      </c>
      <c r="H87" s="44"/>
      <c r="I87" s="43"/>
      <c r="J87" s="45"/>
    </row>
    <row r="88" spans="1:10" s="9" customFormat="1" thickBot="1">
      <c r="A88" s="47"/>
      <c r="B88" s="48"/>
      <c r="C88" s="48"/>
      <c r="D88" s="48" t="s">
        <v>4</v>
      </c>
      <c r="E88" s="49">
        <f>E8</f>
        <v>108319</v>
      </c>
      <c r="F88" s="49">
        <f>F8</f>
        <v>36746692</v>
      </c>
      <c r="G88" s="50">
        <v>99066.44</v>
      </c>
      <c r="H88" s="49">
        <v>0</v>
      </c>
      <c r="I88" s="50">
        <v>15633.95</v>
      </c>
      <c r="J88" s="51">
        <f>J7+F8-H88</f>
        <v>300054692</v>
      </c>
    </row>
    <row r="90" spans="1:10">
      <c r="H90" s="10" t="s">
        <v>14</v>
      </c>
    </row>
    <row r="91" spans="1:10">
      <c r="H91" s="11" t="s">
        <v>15</v>
      </c>
    </row>
    <row r="242" spans="52:52">
      <c r="AZ242" s="1" t="s">
        <v>5</v>
      </c>
    </row>
  </sheetData>
  <mergeCells count="9">
    <mergeCell ref="A1:E2"/>
    <mergeCell ref="A3:J4"/>
    <mergeCell ref="A5:A6"/>
    <mergeCell ref="B5:B6"/>
    <mergeCell ref="C5:C6"/>
    <mergeCell ref="D5:D6"/>
    <mergeCell ref="E5:F5"/>
    <mergeCell ref="G5:H5"/>
    <mergeCell ref="I5:J5"/>
  </mergeCells>
  <pageMargins left="0.5" right="0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46C8-675F-4CC1-B9BC-1A33F1D3619C}">
  <dimension ref="A1:AZ204"/>
  <sheetViews>
    <sheetView topLeftCell="A24" zoomScale="85" zoomScaleNormal="85" workbookViewId="0">
      <selection activeCell="J51" sqref="J51"/>
    </sheetView>
  </sheetViews>
  <sheetFormatPr defaultColWidth="9.15234375" defaultRowHeight="12.9"/>
  <cols>
    <col min="1" max="1" width="4.23046875" style="1" bestFit="1" customWidth="1"/>
    <col min="2" max="2" width="6.84375" style="1" bestFit="1" customWidth="1"/>
    <col min="3" max="3" width="10.23046875" style="6" bestFit="1" customWidth="1"/>
    <col min="4" max="4" width="25.53515625" style="1" customWidth="1"/>
    <col min="5" max="5" width="8.4609375" style="7" bestFit="1" customWidth="1"/>
    <col min="6" max="6" width="6.69140625" style="1" bestFit="1" customWidth="1"/>
    <col min="7" max="9" width="8.84375" style="1" bestFit="1" customWidth="1"/>
    <col min="10" max="10" width="10.61328125" style="1" bestFit="1" customWidth="1"/>
    <col min="11" max="16384" width="9.15234375" style="1"/>
  </cols>
  <sheetData>
    <row r="1" spans="1:52" ht="28.3" customHeight="1">
      <c r="A1" s="79" t="s">
        <v>17</v>
      </c>
      <c r="B1" s="80"/>
      <c r="C1" s="80"/>
      <c r="D1" s="80"/>
      <c r="E1" s="80"/>
    </row>
    <row r="2" spans="1:52" ht="28.3" customHeight="1">
      <c r="A2" s="80"/>
      <c r="B2" s="80"/>
      <c r="C2" s="80"/>
      <c r="D2" s="80"/>
      <c r="E2" s="80"/>
    </row>
    <row r="3" spans="1:52">
      <c r="A3" s="81" t="s">
        <v>11</v>
      </c>
      <c r="B3" s="81"/>
      <c r="C3" s="81"/>
      <c r="D3" s="81"/>
      <c r="E3" s="81"/>
      <c r="F3" s="81"/>
      <c r="G3" s="81"/>
      <c r="H3" s="81"/>
      <c r="I3" s="81"/>
      <c r="J3" s="81"/>
      <c r="AS3" s="2">
        <v>43921</v>
      </c>
      <c r="AZ3" s="1">
        <f>(AQ3-4)*20000</f>
        <v>-80000</v>
      </c>
    </row>
    <row r="4" spans="1:52" ht="13.3" thickBot="1">
      <c r="A4" s="81"/>
      <c r="B4" s="81"/>
      <c r="C4" s="81"/>
      <c r="D4" s="81"/>
      <c r="E4" s="81"/>
      <c r="F4" s="81"/>
      <c r="G4" s="81"/>
      <c r="H4" s="81"/>
      <c r="I4" s="81"/>
      <c r="J4" s="81"/>
    </row>
    <row r="5" spans="1:52">
      <c r="A5" s="82" t="s">
        <v>0</v>
      </c>
      <c r="B5" s="84" t="s">
        <v>9</v>
      </c>
      <c r="C5" s="86" t="s">
        <v>1</v>
      </c>
      <c r="D5" s="84" t="s">
        <v>10</v>
      </c>
      <c r="E5" s="88" t="s">
        <v>13</v>
      </c>
      <c r="F5" s="88"/>
      <c r="G5" s="88" t="s">
        <v>8</v>
      </c>
      <c r="H5" s="88"/>
      <c r="I5" s="88" t="s">
        <v>7</v>
      </c>
      <c r="J5" s="89"/>
    </row>
    <row r="6" spans="1:52">
      <c r="A6" s="83"/>
      <c r="B6" s="85"/>
      <c r="C6" s="87"/>
      <c r="D6" s="85"/>
      <c r="E6" s="38" t="s">
        <v>2</v>
      </c>
      <c r="F6" s="39" t="s">
        <v>6</v>
      </c>
      <c r="G6" s="39" t="s">
        <v>2</v>
      </c>
      <c r="H6" s="39" t="s">
        <v>6</v>
      </c>
      <c r="I6" s="39" t="s">
        <v>2</v>
      </c>
      <c r="J6" s="40" t="s">
        <v>6</v>
      </c>
    </row>
    <row r="7" spans="1:52">
      <c r="A7" s="41"/>
      <c r="B7" s="42"/>
      <c r="C7" s="42"/>
      <c r="D7" s="42" t="s">
        <v>12</v>
      </c>
      <c r="E7" s="43"/>
      <c r="F7" s="44"/>
      <c r="G7" s="43"/>
      <c r="H7" s="44"/>
      <c r="I7" s="43">
        <v>15633.95</v>
      </c>
      <c r="J7" s="45">
        <v>300054692</v>
      </c>
    </row>
    <row r="8" spans="1:52">
      <c r="A8" s="41"/>
      <c r="B8" s="42"/>
      <c r="C8" s="42"/>
      <c r="D8" s="42" t="s">
        <v>16</v>
      </c>
      <c r="E8" s="43">
        <v>74066</v>
      </c>
      <c r="F8" s="44">
        <f>10648</f>
        <v>10648</v>
      </c>
      <c r="G8" s="43"/>
      <c r="H8" s="44"/>
      <c r="I8" s="43"/>
      <c r="J8" s="45"/>
    </row>
    <row r="9" spans="1:52">
      <c r="A9" s="41">
        <v>1</v>
      </c>
      <c r="B9" s="46">
        <v>46028</v>
      </c>
      <c r="C9" s="42" t="s">
        <v>405</v>
      </c>
      <c r="D9" s="42" t="s">
        <v>396</v>
      </c>
      <c r="E9" s="43"/>
      <c r="F9" s="44"/>
      <c r="G9" s="43">
        <v>2500</v>
      </c>
      <c r="H9" s="44"/>
      <c r="I9" s="43"/>
      <c r="J9" s="45"/>
    </row>
    <row r="10" spans="1:52">
      <c r="A10" s="41">
        <v>2</v>
      </c>
      <c r="B10" s="46">
        <v>46028</v>
      </c>
      <c r="C10" s="42" t="s">
        <v>406</v>
      </c>
      <c r="D10" s="42" t="s">
        <v>407</v>
      </c>
      <c r="E10" s="43"/>
      <c r="F10" s="44"/>
      <c r="G10" s="43">
        <v>2500</v>
      </c>
      <c r="H10" s="44"/>
      <c r="I10" s="43"/>
      <c r="J10" s="45"/>
      <c r="AX10" s="5" t="s">
        <v>3</v>
      </c>
    </row>
    <row r="11" spans="1:52">
      <c r="A11" s="41">
        <v>3</v>
      </c>
      <c r="B11" s="46">
        <v>46028</v>
      </c>
      <c r="C11" s="42" t="s">
        <v>408</v>
      </c>
      <c r="D11" s="42" t="s">
        <v>90</v>
      </c>
      <c r="E11" s="43"/>
      <c r="F11" s="44"/>
      <c r="G11" s="43">
        <v>300</v>
      </c>
      <c r="H11" s="44"/>
      <c r="I11" s="43"/>
      <c r="J11" s="45"/>
    </row>
    <row r="12" spans="1:52">
      <c r="A12" s="41">
        <v>4</v>
      </c>
      <c r="B12" s="46">
        <v>46028</v>
      </c>
      <c r="C12" s="42" t="s">
        <v>409</v>
      </c>
      <c r="D12" s="42" t="s">
        <v>410</v>
      </c>
      <c r="E12" s="43"/>
      <c r="F12" s="44"/>
      <c r="G12" s="43">
        <v>46.2</v>
      </c>
      <c r="H12" s="44"/>
      <c r="I12" s="43"/>
      <c r="J12" s="45"/>
    </row>
    <row r="13" spans="1:52">
      <c r="A13" s="41">
        <v>5</v>
      </c>
      <c r="B13" s="46">
        <v>46028</v>
      </c>
      <c r="C13" s="42" t="s">
        <v>411</v>
      </c>
      <c r="D13" s="42" t="s">
        <v>412</v>
      </c>
      <c r="E13" s="43"/>
      <c r="F13" s="44"/>
      <c r="G13" s="43">
        <v>900</v>
      </c>
      <c r="H13" s="44"/>
      <c r="I13" s="43"/>
      <c r="J13" s="45"/>
    </row>
    <row r="14" spans="1:52">
      <c r="A14" s="41">
        <v>6</v>
      </c>
      <c r="B14" s="46">
        <v>46028</v>
      </c>
      <c r="C14" s="42" t="s">
        <v>413</v>
      </c>
      <c r="D14" s="42" t="s">
        <v>414</v>
      </c>
      <c r="E14" s="43"/>
      <c r="F14" s="44"/>
      <c r="G14" s="43">
        <v>300</v>
      </c>
      <c r="H14" s="44"/>
      <c r="I14" s="43"/>
      <c r="J14" s="45"/>
    </row>
    <row r="15" spans="1:52">
      <c r="A15" s="41">
        <v>7</v>
      </c>
      <c r="B15" s="46">
        <v>46028</v>
      </c>
      <c r="C15" s="42" t="s">
        <v>415</v>
      </c>
      <c r="D15" s="42" t="s">
        <v>416</v>
      </c>
      <c r="E15" s="43"/>
      <c r="F15" s="44"/>
      <c r="G15" s="43">
        <v>126.37</v>
      </c>
      <c r="H15" s="44"/>
      <c r="I15" s="43"/>
      <c r="J15" s="45"/>
    </row>
    <row r="16" spans="1:52">
      <c r="A16" s="41">
        <v>8</v>
      </c>
      <c r="B16" s="46">
        <v>46028</v>
      </c>
      <c r="C16" s="42" t="s">
        <v>417</v>
      </c>
      <c r="D16" s="42" t="s">
        <v>418</v>
      </c>
      <c r="E16" s="43"/>
      <c r="F16" s="44"/>
      <c r="G16" s="43">
        <v>900</v>
      </c>
      <c r="H16" s="44"/>
      <c r="I16" s="43"/>
      <c r="J16" s="45"/>
    </row>
    <row r="17" spans="1:10">
      <c r="A17" s="41">
        <v>9</v>
      </c>
      <c r="B17" s="46">
        <v>46028</v>
      </c>
      <c r="C17" s="42" t="s">
        <v>419</v>
      </c>
      <c r="D17" s="42" t="s">
        <v>420</v>
      </c>
      <c r="E17" s="43"/>
      <c r="F17" s="44"/>
      <c r="G17" s="43">
        <v>1400</v>
      </c>
      <c r="H17" s="44"/>
      <c r="I17" s="43"/>
      <c r="J17" s="45"/>
    </row>
    <row r="18" spans="1:10">
      <c r="A18" s="41">
        <v>10</v>
      </c>
      <c r="B18" s="46">
        <v>46028</v>
      </c>
      <c r="C18" s="42" t="s">
        <v>421</v>
      </c>
      <c r="D18" s="42" t="s">
        <v>422</v>
      </c>
      <c r="E18" s="43"/>
      <c r="F18" s="44"/>
      <c r="G18" s="43">
        <v>50</v>
      </c>
      <c r="H18" s="44"/>
      <c r="I18" s="43"/>
      <c r="J18" s="45"/>
    </row>
    <row r="19" spans="1:10">
      <c r="A19" s="41">
        <v>11</v>
      </c>
      <c r="B19" s="46">
        <v>46028</v>
      </c>
      <c r="C19" s="42" t="s">
        <v>423</v>
      </c>
      <c r="D19" s="42" t="s">
        <v>424</v>
      </c>
      <c r="E19" s="43"/>
      <c r="F19" s="44"/>
      <c r="G19" s="43">
        <v>300</v>
      </c>
      <c r="H19" s="44"/>
      <c r="I19" s="43"/>
      <c r="J19" s="45"/>
    </row>
    <row r="20" spans="1:10">
      <c r="A20" s="41">
        <v>12</v>
      </c>
      <c r="B20" s="46">
        <v>46028</v>
      </c>
      <c r="C20" s="42" t="s">
        <v>425</v>
      </c>
      <c r="D20" s="42" t="s">
        <v>426</v>
      </c>
      <c r="E20" s="43"/>
      <c r="F20" s="44"/>
      <c r="G20" s="43">
        <v>1050</v>
      </c>
      <c r="H20" s="44"/>
      <c r="I20" s="43"/>
      <c r="J20" s="45"/>
    </row>
    <row r="21" spans="1:10">
      <c r="A21" s="41">
        <v>13</v>
      </c>
      <c r="B21" s="46">
        <v>46028</v>
      </c>
      <c r="C21" s="42" t="s">
        <v>427</v>
      </c>
      <c r="D21" s="42" t="s">
        <v>428</v>
      </c>
      <c r="E21" s="43"/>
      <c r="F21" s="44"/>
      <c r="G21" s="43">
        <v>2004.43</v>
      </c>
      <c r="H21" s="44"/>
      <c r="I21" s="43"/>
      <c r="J21" s="45"/>
    </row>
    <row r="22" spans="1:10">
      <c r="A22" s="41">
        <v>14</v>
      </c>
      <c r="B22" s="46">
        <v>46028</v>
      </c>
      <c r="C22" s="42" t="s">
        <v>429</v>
      </c>
      <c r="D22" s="42" t="s">
        <v>430</v>
      </c>
      <c r="E22" s="43"/>
      <c r="F22" s="44"/>
      <c r="G22" s="43">
        <v>1000</v>
      </c>
      <c r="H22" s="44"/>
      <c r="I22" s="43"/>
      <c r="J22" s="45"/>
    </row>
    <row r="23" spans="1:10">
      <c r="A23" s="41">
        <v>15</v>
      </c>
      <c r="B23" s="46">
        <v>46028</v>
      </c>
      <c r="C23" s="42" t="s">
        <v>431</v>
      </c>
      <c r="D23" s="42" t="s">
        <v>432</v>
      </c>
      <c r="E23" s="43"/>
      <c r="F23" s="44"/>
      <c r="G23" s="43">
        <v>628.86</v>
      </c>
      <c r="H23" s="44"/>
      <c r="I23" s="43"/>
      <c r="J23" s="45"/>
    </row>
    <row r="24" spans="1:10">
      <c r="A24" s="41">
        <v>16</v>
      </c>
      <c r="B24" s="46">
        <v>46028</v>
      </c>
      <c r="C24" s="42" t="s">
        <v>433</v>
      </c>
      <c r="D24" s="42" t="s">
        <v>434</v>
      </c>
      <c r="E24" s="43"/>
      <c r="F24" s="44"/>
      <c r="G24" s="43">
        <v>100</v>
      </c>
      <c r="H24" s="44"/>
      <c r="I24" s="43"/>
      <c r="J24" s="45"/>
    </row>
    <row r="25" spans="1:10">
      <c r="A25" s="41">
        <v>17</v>
      </c>
      <c r="B25" s="46">
        <v>46028</v>
      </c>
      <c r="C25" s="42" t="s">
        <v>435</v>
      </c>
      <c r="D25" s="42" t="s">
        <v>436</v>
      </c>
      <c r="E25" s="43"/>
      <c r="F25" s="44"/>
      <c r="G25" s="43">
        <v>1100</v>
      </c>
      <c r="H25" s="44"/>
      <c r="I25" s="43"/>
      <c r="J25" s="45"/>
    </row>
    <row r="26" spans="1:10">
      <c r="A26" s="41">
        <v>18</v>
      </c>
      <c r="B26" s="46">
        <v>46028</v>
      </c>
      <c r="C26" s="42" t="s">
        <v>437</v>
      </c>
      <c r="D26" s="42" t="s">
        <v>438</v>
      </c>
      <c r="E26" s="43"/>
      <c r="F26" s="44"/>
      <c r="G26" s="43">
        <v>250</v>
      </c>
      <c r="H26" s="44"/>
      <c r="I26" s="43"/>
      <c r="J26" s="45"/>
    </row>
    <row r="27" spans="1:10">
      <c r="A27" s="41">
        <v>19</v>
      </c>
      <c r="B27" s="46">
        <v>46028</v>
      </c>
      <c r="C27" s="42" t="s">
        <v>439</v>
      </c>
      <c r="D27" s="42" t="s">
        <v>440</v>
      </c>
      <c r="E27" s="43"/>
      <c r="F27" s="44"/>
      <c r="G27" s="43">
        <v>1000</v>
      </c>
      <c r="H27" s="44"/>
      <c r="I27" s="43"/>
      <c r="J27" s="45"/>
    </row>
    <row r="28" spans="1:10">
      <c r="A28" s="41">
        <v>20</v>
      </c>
      <c r="B28" s="46">
        <v>46028</v>
      </c>
      <c r="C28" s="42" t="s">
        <v>441</v>
      </c>
      <c r="D28" s="42" t="s">
        <v>442</v>
      </c>
      <c r="E28" s="43"/>
      <c r="F28" s="44"/>
      <c r="G28" s="43">
        <v>577.27</v>
      </c>
      <c r="H28" s="44"/>
      <c r="I28" s="43"/>
      <c r="J28" s="45"/>
    </row>
    <row r="29" spans="1:10">
      <c r="A29" s="41">
        <v>21</v>
      </c>
      <c r="B29" s="46">
        <v>46028</v>
      </c>
      <c r="C29" s="42" t="s">
        <v>443</v>
      </c>
      <c r="D29" s="42" t="s">
        <v>444</v>
      </c>
      <c r="E29" s="43"/>
      <c r="F29" s="44"/>
      <c r="G29" s="43">
        <v>500</v>
      </c>
      <c r="H29" s="44"/>
      <c r="I29" s="43"/>
      <c r="J29" s="45"/>
    </row>
    <row r="30" spans="1:10">
      <c r="A30" s="41">
        <v>22</v>
      </c>
      <c r="B30" s="46">
        <v>46028</v>
      </c>
      <c r="C30" s="42" t="s">
        <v>445</v>
      </c>
      <c r="D30" s="42" t="s">
        <v>446</v>
      </c>
      <c r="E30" s="43"/>
      <c r="F30" s="44"/>
      <c r="G30" s="43">
        <v>1000</v>
      </c>
      <c r="H30" s="44"/>
      <c r="I30" s="43"/>
      <c r="J30" s="45"/>
    </row>
    <row r="31" spans="1:10">
      <c r="A31" s="41">
        <v>23</v>
      </c>
      <c r="B31" s="46">
        <v>46028</v>
      </c>
      <c r="C31" s="42" t="s">
        <v>447</v>
      </c>
      <c r="D31" s="42" t="s">
        <v>321</v>
      </c>
      <c r="E31" s="43"/>
      <c r="F31" s="44"/>
      <c r="G31" s="43">
        <v>300</v>
      </c>
      <c r="H31" s="44"/>
      <c r="I31" s="43"/>
      <c r="J31" s="45"/>
    </row>
    <row r="32" spans="1:10">
      <c r="A32" s="41">
        <v>24</v>
      </c>
      <c r="B32" s="46">
        <v>46028</v>
      </c>
      <c r="C32" s="42" t="s">
        <v>448</v>
      </c>
      <c r="D32" s="42" t="s">
        <v>449</v>
      </c>
      <c r="E32" s="43"/>
      <c r="F32" s="44"/>
      <c r="G32" s="43">
        <v>96.16</v>
      </c>
      <c r="H32" s="44"/>
      <c r="I32" s="43"/>
      <c r="J32" s="45"/>
    </row>
    <row r="33" spans="1:10" s="61" customFormat="1" ht="23.15">
      <c r="A33" s="54">
        <v>25</v>
      </c>
      <c r="B33" s="55">
        <v>46028</v>
      </c>
      <c r="C33" s="56" t="s">
        <v>450</v>
      </c>
      <c r="D33" s="57" t="s">
        <v>2046</v>
      </c>
      <c r="E33" s="58"/>
      <c r="F33" s="59"/>
      <c r="G33" s="58">
        <v>248</v>
      </c>
      <c r="H33" s="59"/>
      <c r="I33" s="58"/>
      <c r="J33" s="60"/>
    </row>
    <row r="34" spans="1:10">
      <c r="A34" s="41">
        <v>26</v>
      </c>
      <c r="B34" s="46">
        <v>46028</v>
      </c>
      <c r="C34" s="42" t="s">
        <v>451</v>
      </c>
      <c r="D34" s="42" t="s">
        <v>452</v>
      </c>
      <c r="E34" s="43"/>
      <c r="F34" s="44"/>
      <c r="G34" s="43">
        <v>2000</v>
      </c>
      <c r="H34" s="44"/>
      <c r="I34" s="43"/>
      <c r="J34" s="45"/>
    </row>
    <row r="35" spans="1:10">
      <c r="A35" s="41">
        <v>27</v>
      </c>
      <c r="B35" s="46">
        <v>46028</v>
      </c>
      <c r="C35" s="42" t="s">
        <v>453</v>
      </c>
      <c r="D35" s="42" t="s">
        <v>454</v>
      </c>
      <c r="E35" s="43"/>
      <c r="F35" s="44"/>
      <c r="G35" s="43">
        <v>1300</v>
      </c>
      <c r="H35" s="44"/>
      <c r="I35" s="43"/>
      <c r="J35" s="45"/>
    </row>
    <row r="36" spans="1:10">
      <c r="A36" s="41">
        <v>28</v>
      </c>
      <c r="B36" s="46">
        <v>46028</v>
      </c>
      <c r="C36" s="42" t="s">
        <v>455</v>
      </c>
      <c r="D36" s="42" t="s">
        <v>179</v>
      </c>
      <c r="E36" s="43"/>
      <c r="F36" s="44"/>
      <c r="G36" s="43">
        <v>150</v>
      </c>
      <c r="H36" s="44"/>
      <c r="I36" s="43"/>
      <c r="J36" s="45"/>
    </row>
    <row r="37" spans="1:10">
      <c r="A37" s="41">
        <v>29</v>
      </c>
      <c r="B37" s="46">
        <v>46028</v>
      </c>
      <c r="C37" s="42" t="s">
        <v>456</v>
      </c>
      <c r="D37" s="42" t="s">
        <v>457</v>
      </c>
      <c r="E37" s="43"/>
      <c r="F37" s="44"/>
      <c r="G37" s="43">
        <v>500</v>
      </c>
      <c r="H37" s="44"/>
      <c r="I37" s="43"/>
      <c r="J37" s="45"/>
    </row>
    <row r="38" spans="1:10">
      <c r="A38" s="41">
        <v>30</v>
      </c>
      <c r="B38" s="46">
        <v>46028</v>
      </c>
      <c r="C38" s="42" t="s">
        <v>458</v>
      </c>
      <c r="D38" s="42" t="s">
        <v>459</v>
      </c>
      <c r="E38" s="43"/>
      <c r="F38" s="44"/>
      <c r="G38" s="43">
        <v>75.599999999999994</v>
      </c>
      <c r="H38" s="44"/>
      <c r="I38" s="43"/>
      <c r="J38" s="45"/>
    </row>
    <row r="39" spans="1:10">
      <c r="A39" s="41">
        <v>31</v>
      </c>
      <c r="B39" s="46">
        <v>46028</v>
      </c>
      <c r="C39" s="42" t="s">
        <v>460</v>
      </c>
      <c r="D39" s="42" t="s">
        <v>461</v>
      </c>
      <c r="E39" s="43"/>
      <c r="F39" s="44"/>
      <c r="G39" s="43">
        <v>108.19</v>
      </c>
      <c r="H39" s="44"/>
      <c r="I39" s="43"/>
      <c r="J39" s="45"/>
    </row>
    <row r="40" spans="1:10">
      <c r="A40" s="41">
        <v>32</v>
      </c>
      <c r="B40" s="46">
        <v>46028</v>
      </c>
      <c r="C40" s="42" t="s">
        <v>462</v>
      </c>
      <c r="D40" s="42" t="s">
        <v>463</v>
      </c>
      <c r="E40" s="43"/>
      <c r="F40" s="44"/>
      <c r="G40" s="43">
        <v>5000</v>
      </c>
      <c r="H40" s="44"/>
      <c r="I40" s="43"/>
      <c r="J40" s="45"/>
    </row>
    <row r="41" spans="1:10" s="9" customFormat="1" ht="12.45">
      <c r="A41" s="41">
        <v>33</v>
      </c>
      <c r="B41" s="46">
        <v>46028</v>
      </c>
      <c r="C41" s="42" t="s">
        <v>464</v>
      </c>
      <c r="D41" s="42" t="s">
        <v>465</v>
      </c>
      <c r="E41" s="43"/>
      <c r="F41" s="44"/>
      <c r="G41" s="43">
        <v>590</v>
      </c>
      <c r="H41" s="44"/>
      <c r="I41" s="43"/>
      <c r="J41" s="45"/>
    </row>
    <row r="42" spans="1:10" s="9" customFormat="1" ht="12.45">
      <c r="A42" s="41">
        <v>34</v>
      </c>
      <c r="B42" s="46">
        <v>46028</v>
      </c>
      <c r="C42" s="42" t="s">
        <v>466</v>
      </c>
      <c r="D42" s="42" t="s">
        <v>467</v>
      </c>
      <c r="E42" s="43"/>
      <c r="F42" s="44"/>
      <c r="G42" s="43">
        <v>200</v>
      </c>
      <c r="H42" s="44"/>
      <c r="I42" s="43"/>
      <c r="J42" s="45"/>
    </row>
    <row r="43" spans="1:10" s="9" customFormat="1" ht="12.45">
      <c r="A43" s="41">
        <v>35</v>
      </c>
      <c r="B43" s="46">
        <v>46028</v>
      </c>
      <c r="C43" s="42" t="s">
        <v>468</v>
      </c>
      <c r="D43" s="42" t="s">
        <v>469</v>
      </c>
      <c r="E43" s="43"/>
      <c r="F43" s="44"/>
      <c r="G43" s="43">
        <v>100</v>
      </c>
      <c r="H43" s="44"/>
      <c r="I43" s="43"/>
      <c r="J43" s="45"/>
    </row>
    <row r="44" spans="1:10">
      <c r="A44" s="41">
        <v>36</v>
      </c>
      <c r="B44" s="46">
        <v>46028</v>
      </c>
      <c r="C44" s="42" t="s">
        <v>470</v>
      </c>
      <c r="D44" s="42" t="s">
        <v>471</v>
      </c>
      <c r="E44" s="43"/>
      <c r="F44" s="44"/>
      <c r="G44" s="43">
        <v>200</v>
      </c>
      <c r="H44" s="44"/>
      <c r="I44" s="43"/>
      <c r="J44" s="45"/>
    </row>
    <row r="45" spans="1:10">
      <c r="A45" s="41">
        <v>37</v>
      </c>
      <c r="B45" s="46">
        <v>46028</v>
      </c>
      <c r="C45" s="42" t="s">
        <v>472</v>
      </c>
      <c r="D45" s="42" t="s">
        <v>471</v>
      </c>
      <c r="E45" s="43"/>
      <c r="F45" s="44"/>
      <c r="G45" s="43">
        <v>300</v>
      </c>
      <c r="H45" s="44"/>
      <c r="I45" s="43"/>
      <c r="J45" s="45"/>
    </row>
    <row r="46" spans="1:10">
      <c r="A46" s="41">
        <v>38</v>
      </c>
      <c r="B46" s="46">
        <v>46028</v>
      </c>
      <c r="C46" s="42" t="s">
        <v>473</v>
      </c>
      <c r="D46" s="42" t="s">
        <v>474</v>
      </c>
      <c r="E46" s="43"/>
      <c r="F46" s="44"/>
      <c r="G46" s="43">
        <v>1529.81</v>
      </c>
      <c r="H46" s="44"/>
      <c r="I46" s="43"/>
      <c r="J46" s="45"/>
    </row>
    <row r="47" spans="1:10">
      <c r="A47" s="41">
        <v>39</v>
      </c>
      <c r="B47" s="46">
        <v>46028</v>
      </c>
      <c r="C47" s="42" t="s">
        <v>475</v>
      </c>
      <c r="D47" s="42" t="s">
        <v>476</v>
      </c>
      <c r="E47" s="43"/>
      <c r="F47" s="44"/>
      <c r="G47" s="43">
        <v>2500</v>
      </c>
      <c r="H47" s="44"/>
      <c r="I47" s="43"/>
      <c r="J47" s="45"/>
    </row>
    <row r="48" spans="1:10">
      <c r="A48" s="41">
        <v>40</v>
      </c>
      <c r="B48" s="46">
        <v>46028</v>
      </c>
      <c r="C48" s="42" t="s">
        <v>477</v>
      </c>
      <c r="D48" s="42" t="s">
        <v>380</v>
      </c>
      <c r="E48" s="43"/>
      <c r="F48" s="44"/>
      <c r="G48" s="43">
        <v>2500</v>
      </c>
      <c r="H48" s="44"/>
      <c r="I48" s="43"/>
      <c r="J48" s="45"/>
    </row>
    <row r="49" spans="1:10">
      <c r="A49" s="41">
        <v>41</v>
      </c>
      <c r="B49" s="46">
        <v>46028</v>
      </c>
      <c r="C49" s="42" t="s">
        <v>478</v>
      </c>
      <c r="D49" s="42" t="s">
        <v>479</v>
      </c>
      <c r="E49" s="43"/>
      <c r="F49" s="44"/>
      <c r="G49" s="43"/>
      <c r="H49" s="44">
        <v>8127000</v>
      </c>
      <c r="I49" s="43"/>
      <c r="J49" s="45"/>
    </row>
    <row r="50" spans="1:10" s="9" customFormat="1" thickBot="1">
      <c r="A50" s="47"/>
      <c r="B50" s="48"/>
      <c r="C50" s="48"/>
      <c r="D50" s="48" t="s">
        <v>4</v>
      </c>
      <c r="E50" s="49">
        <f>E8</f>
        <v>74066</v>
      </c>
      <c r="F50" s="49">
        <f>F8</f>
        <v>10648</v>
      </c>
      <c r="G50" s="50">
        <v>36230.89</v>
      </c>
      <c r="H50" s="49">
        <v>8127000</v>
      </c>
      <c r="I50" s="50">
        <v>53469.06</v>
      </c>
      <c r="J50" s="51">
        <f>J7-H50+F50</f>
        <v>291938340</v>
      </c>
    </row>
    <row r="52" spans="1:10">
      <c r="H52" s="10" t="s">
        <v>14</v>
      </c>
    </row>
    <row r="53" spans="1:10">
      <c r="H53" s="11" t="s">
        <v>15</v>
      </c>
    </row>
    <row r="204" spans="52:52">
      <c r="AZ204" s="1" t="s">
        <v>5</v>
      </c>
    </row>
  </sheetData>
  <mergeCells count="9">
    <mergeCell ref="A1:E2"/>
    <mergeCell ref="A3:J4"/>
    <mergeCell ref="A5:A6"/>
    <mergeCell ref="B5:B6"/>
    <mergeCell ref="C5:C6"/>
    <mergeCell ref="D5:D6"/>
    <mergeCell ref="E5:F5"/>
    <mergeCell ref="G5:H5"/>
    <mergeCell ref="I5:J5"/>
  </mergeCells>
  <pageMargins left="0.5" right="0" top="0.25" bottom="0.5" header="0" footer="0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76557-D4F5-4656-813D-CAF6AC70055D}">
  <dimension ref="A1:AZ204"/>
  <sheetViews>
    <sheetView topLeftCell="A42" zoomScale="115" zoomScaleNormal="115" workbookViewId="0">
      <selection activeCell="J60" sqref="J60"/>
    </sheetView>
  </sheetViews>
  <sheetFormatPr defaultColWidth="9.15234375" defaultRowHeight="12.9"/>
  <cols>
    <col min="1" max="1" width="4.23046875" style="1" bestFit="1" customWidth="1"/>
    <col min="2" max="2" width="6.84375" style="1" bestFit="1" customWidth="1"/>
    <col min="3" max="3" width="10.23046875" style="6" bestFit="1" customWidth="1"/>
    <col min="4" max="4" width="20.07421875" style="1" customWidth="1"/>
    <col min="5" max="5" width="8.4609375" style="7" bestFit="1" customWidth="1"/>
    <col min="6" max="6" width="9.23046875" style="1" customWidth="1"/>
    <col min="7" max="7" width="8.84375" style="1" bestFit="1" customWidth="1"/>
    <col min="8" max="8" width="9.765625" style="1" customWidth="1"/>
    <col min="9" max="9" width="8.84375" style="1" bestFit="1" customWidth="1"/>
    <col min="10" max="10" width="10.61328125" style="1" bestFit="1" customWidth="1"/>
    <col min="11" max="16384" width="9.15234375" style="1"/>
  </cols>
  <sheetData>
    <row r="1" spans="1:52" ht="28.3" customHeight="1">
      <c r="A1" s="79" t="s">
        <v>17</v>
      </c>
      <c r="B1" s="80"/>
      <c r="C1" s="80"/>
      <c r="D1" s="80"/>
      <c r="E1" s="80"/>
    </row>
    <row r="2" spans="1:52" ht="28.3" customHeight="1">
      <c r="A2" s="80"/>
      <c r="B2" s="80"/>
      <c r="C2" s="80"/>
      <c r="D2" s="80"/>
      <c r="E2" s="80"/>
    </row>
    <row r="3" spans="1:52">
      <c r="A3" s="81" t="s">
        <v>11</v>
      </c>
      <c r="B3" s="81"/>
      <c r="C3" s="81"/>
      <c r="D3" s="81"/>
      <c r="E3" s="81"/>
      <c r="F3" s="81"/>
      <c r="G3" s="81"/>
      <c r="H3" s="81"/>
      <c r="I3" s="81"/>
      <c r="J3" s="81"/>
      <c r="AS3" s="2">
        <v>43921</v>
      </c>
      <c r="AZ3" s="1">
        <f>(AQ3-4)*20000</f>
        <v>-80000</v>
      </c>
    </row>
    <row r="4" spans="1:52" ht="13.3" thickBot="1">
      <c r="A4" s="81"/>
      <c r="B4" s="81"/>
      <c r="C4" s="81"/>
      <c r="D4" s="81"/>
      <c r="E4" s="81"/>
      <c r="F4" s="81"/>
      <c r="G4" s="81"/>
      <c r="H4" s="81"/>
      <c r="I4" s="81"/>
      <c r="J4" s="81"/>
    </row>
    <row r="5" spans="1:52">
      <c r="A5" s="82" t="s">
        <v>0</v>
      </c>
      <c r="B5" s="84" t="s">
        <v>9</v>
      </c>
      <c r="C5" s="86" t="s">
        <v>1</v>
      </c>
      <c r="D5" s="84" t="s">
        <v>10</v>
      </c>
      <c r="E5" s="88" t="s">
        <v>13</v>
      </c>
      <c r="F5" s="88"/>
      <c r="G5" s="88" t="s">
        <v>8</v>
      </c>
      <c r="H5" s="88"/>
      <c r="I5" s="88" t="s">
        <v>7</v>
      </c>
      <c r="J5" s="89"/>
    </row>
    <row r="6" spans="1:52">
      <c r="A6" s="83"/>
      <c r="B6" s="85"/>
      <c r="C6" s="87"/>
      <c r="D6" s="85"/>
      <c r="E6" s="38" t="s">
        <v>2</v>
      </c>
      <c r="F6" s="39" t="s">
        <v>6</v>
      </c>
      <c r="G6" s="39" t="s">
        <v>2</v>
      </c>
      <c r="H6" s="39" t="s">
        <v>6</v>
      </c>
      <c r="I6" s="39" t="s">
        <v>2</v>
      </c>
      <c r="J6" s="40" t="s">
        <v>6</v>
      </c>
    </row>
    <row r="7" spans="1:52">
      <c r="A7" s="41"/>
      <c r="B7" s="42"/>
      <c r="C7" s="42"/>
      <c r="D7" s="62" t="s">
        <v>12</v>
      </c>
      <c r="E7" s="43"/>
      <c r="F7" s="44"/>
      <c r="G7" s="43"/>
      <c r="H7" s="44"/>
      <c r="I7" s="43">
        <v>53469.06</v>
      </c>
      <c r="J7" s="45">
        <v>291938340</v>
      </c>
    </row>
    <row r="8" spans="1:52">
      <c r="A8" s="41"/>
      <c r="B8" s="42"/>
      <c r="C8" s="42"/>
      <c r="D8" s="62" t="s">
        <v>16</v>
      </c>
      <c r="E8" s="43">
        <v>36230</v>
      </c>
      <c r="F8" s="44">
        <f>8127000+21538</f>
        <v>8148538</v>
      </c>
      <c r="G8" s="43"/>
      <c r="H8" s="44"/>
      <c r="I8" s="43"/>
      <c r="J8" s="45"/>
    </row>
    <row r="9" spans="1:52">
      <c r="A9" s="41">
        <v>1</v>
      </c>
      <c r="B9" s="46">
        <v>46029</v>
      </c>
      <c r="C9" s="42" t="s">
        <v>480</v>
      </c>
      <c r="D9" s="62" t="s">
        <v>481</v>
      </c>
      <c r="E9" s="43"/>
      <c r="F9" s="44"/>
      <c r="G9" s="43">
        <v>600</v>
      </c>
      <c r="H9" s="44"/>
      <c r="I9" s="43"/>
      <c r="J9" s="45"/>
    </row>
    <row r="10" spans="1:52">
      <c r="A10" s="41">
        <v>2</v>
      </c>
      <c r="B10" s="46">
        <v>46029</v>
      </c>
      <c r="C10" s="42" t="s">
        <v>482</v>
      </c>
      <c r="D10" s="62" t="s">
        <v>483</v>
      </c>
      <c r="E10" s="43"/>
      <c r="F10" s="44"/>
      <c r="G10" s="43">
        <v>400</v>
      </c>
      <c r="H10" s="44"/>
      <c r="I10" s="43"/>
      <c r="J10" s="45"/>
      <c r="AX10" s="5" t="s">
        <v>3</v>
      </c>
    </row>
    <row r="11" spans="1:52">
      <c r="A11" s="41">
        <v>3</v>
      </c>
      <c r="B11" s="46">
        <v>46029</v>
      </c>
      <c r="C11" s="42" t="s">
        <v>484</v>
      </c>
      <c r="D11" s="62" t="s">
        <v>485</v>
      </c>
      <c r="E11" s="43"/>
      <c r="F11" s="44"/>
      <c r="G11" s="43">
        <v>3648.35</v>
      </c>
      <c r="H11" s="44"/>
      <c r="I11" s="43"/>
      <c r="J11" s="45"/>
    </row>
    <row r="12" spans="1:52">
      <c r="A12" s="41">
        <v>4</v>
      </c>
      <c r="B12" s="46">
        <v>46029</v>
      </c>
      <c r="C12" s="42" t="s">
        <v>486</v>
      </c>
      <c r="D12" s="62" t="s">
        <v>487</v>
      </c>
      <c r="E12" s="43"/>
      <c r="F12" s="44"/>
      <c r="G12" s="43">
        <v>52.82</v>
      </c>
      <c r="H12" s="44"/>
      <c r="I12" s="43"/>
      <c r="J12" s="45"/>
    </row>
    <row r="13" spans="1:52">
      <c r="A13" s="41">
        <v>5</v>
      </c>
      <c r="B13" s="46">
        <v>46029</v>
      </c>
      <c r="C13" s="42" t="s">
        <v>488</v>
      </c>
      <c r="D13" s="62" t="s">
        <v>221</v>
      </c>
      <c r="E13" s="43"/>
      <c r="F13" s="44"/>
      <c r="G13" s="43">
        <v>3000</v>
      </c>
      <c r="H13" s="44"/>
      <c r="I13" s="43"/>
      <c r="J13" s="45"/>
    </row>
    <row r="14" spans="1:52">
      <c r="A14" s="41">
        <v>6</v>
      </c>
      <c r="B14" s="46">
        <v>46029</v>
      </c>
      <c r="C14" s="42" t="s">
        <v>489</v>
      </c>
      <c r="D14" s="62" t="s">
        <v>490</v>
      </c>
      <c r="E14" s="43"/>
      <c r="F14" s="44"/>
      <c r="G14" s="43">
        <v>400</v>
      </c>
      <c r="H14" s="44"/>
      <c r="I14" s="43"/>
      <c r="J14" s="45"/>
    </row>
    <row r="15" spans="1:52">
      <c r="A15" s="41">
        <v>7</v>
      </c>
      <c r="B15" s="46">
        <v>46029</v>
      </c>
      <c r="C15" s="42" t="s">
        <v>491</v>
      </c>
      <c r="D15" s="62" t="s">
        <v>492</v>
      </c>
      <c r="E15" s="43"/>
      <c r="F15" s="44"/>
      <c r="G15" s="43">
        <v>1780</v>
      </c>
      <c r="H15" s="44"/>
      <c r="I15" s="43"/>
      <c r="J15" s="45"/>
    </row>
    <row r="16" spans="1:52">
      <c r="A16" s="41">
        <v>8</v>
      </c>
      <c r="B16" s="46">
        <v>46029</v>
      </c>
      <c r="C16" s="42" t="s">
        <v>493</v>
      </c>
      <c r="D16" s="62" t="s">
        <v>492</v>
      </c>
      <c r="E16" s="43"/>
      <c r="F16" s="44"/>
      <c r="G16" s="43">
        <v>326.45</v>
      </c>
      <c r="H16" s="44"/>
      <c r="I16" s="43"/>
      <c r="J16" s="45"/>
    </row>
    <row r="17" spans="1:10">
      <c r="A17" s="41">
        <v>9</v>
      </c>
      <c r="B17" s="46">
        <v>46029</v>
      </c>
      <c r="C17" s="42" t="s">
        <v>494</v>
      </c>
      <c r="D17" s="62" t="s">
        <v>495</v>
      </c>
      <c r="E17" s="43"/>
      <c r="F17" s="44"/>
      <c r="G17" s="43">
        <v>850</v>
      </c>
      <c r="H17" s="44"/>
      <c r="I17" s="43"/>
      <c r="J17" s="45"/>
    </row>
    <row r="18" spans="1:10">
      <c r="A18" s="41">
        <v>10</v>
      </c>
      <c r="B18" s="46">
        <v>46029</v>
      </c>
      <c r="C18" s="42" t="s">
        <v>496</v>
      </c>
      <c r="D18" s="62" t="s">
        <v>497</v>
      </c>
      <c r="E18" s="43"/>
      <c r="F18" s="44"/>
      <c r="G18" s="43">
        <v>152.58000000000001</v>
      </c>
      <c r="H18" s="44"/>
      <c r="I18" s="43"/>
      <c r="J18" s="45"/>
    </row>
    <row r="19" spans="1:10">
      <c r="A19" s="41">
        <v>11</v>
      </c>
      <c r="B19" s="46">
        <v>46029</v>
      </c>
      <c r="C19" s="42" t="s">
        <v>498</v>
      </c>
      <c r="D19" s="62" t="s">
        <v>499</v>
      </c>
      <c r="E19" s="43"/>
      <c r="F19" s="44"/>
      <c r="G19" s="43">
        <v>1138.67</v>
      </c>
      <c r="H19" s="44"/>
      <c r="I19" s="43"/>
      <c r="J19" s="45"/>
    </row>
    <row r="20" spans="1:10">
      <c r="A20" s="41">
        <v>12</v>
      </c>
      <c r="B20" s="46">
        <v>46029</v>
      </c>
      <c r="C20" s="42" t="s">
        <v>500</v>
      </c>
      <c r="D20" s="62" t="s">
        <v>499</v>
      </c>
      <c r="E20" s="43"/>
      <c r="F20" s="44"/>
      <c r="G20" s="43">
        <v>1138.67</v>
      </c>
      <c r="H20" s="44"/>
      <c r="I20" s="43"/>
      <c r="J20" s="45"/>
    </row>
    <row r="21" spans="1:10">
      <c r="A21" s="41">
        <v>13</v>
      </c>
      <c r="B21" s="46">
        <v>46029</v>
      </c>
      <c r="C21" s="42" t="s">
        <v>501</v>
      </c>
      <c r="D21" s="62" t="s">
        <v>502</v>
      </c>
      <c r="E21" s="43"/>
      <c r="F21" s="44"/>
      <c r="G21" s="43">
        <v>189.32</v>
      </c>
      <c r="H21" s="44"/>
      <c r="I21" s="43"/>
      <c r="J21" s="45"/>
    </row>
    <row r="22" spans="1:10">
      <c r="A22" s="41">
        <v>14</v>
      </c>
      <c r="B22" s="46">
        <v>46029</v>
      </c>
      <c r="C22" s="42" t="s">
        <v>503</v>
      </c>
      <c r="D22" s="62" t="s">
        <v>504</v>
      </c>
      <c r="E22" s="43"/>
      <c r="F22" s="44"/>
      <c r="G22" s="43">
        <v>2500</v>
      </c>
      <c r="H22" s="44"/>
      <c r="I22" s="43"/>
      <c r="J22" s="45"/>
    </row>
    <row r="23" spans="1:10">
      <c r="A23" s="41">
        <v>15</v>
      </c>
      <c r="B23" s="46">
        <v>46029</v>
      </c>
      <c r="C23" s="42" t="s">
        <v>505</v>
      </c>
      <c r="D23" s="62" t="s">
        <v>504</v>
      </c>
      <c r="E23" s="43"/>
      <c r="F23" s="44"/>
      <c r="G23" s="43">
        <v>2500</v>
      </c>
      <c r="H23" s="44"/>
      <c r="I23" s="43"/>
      <c r="J23" s="45"/>
    </row>
    <row r="24" spans="1:10">
      <c r="A24" s="41">
        <v>16</v>
      </c>
      <c r="B24" s="46">
        <v>46029</v>
      </c>
      <c r="C24" s="42" t="s">
        <v>506</v>
      </c>
      <c r="D24" s="62" t="s">
        <v>311</v>
      </c>
      <c r="E24" s="43"/>
      <c r="F24" s="44"/>
      <c r="G24" s="43">
        <v>400</v>
      </c>
      <c r="H24" s="44"/>
      <c r="I24" s="43"/>
      <c r="J24" s="45"/>
    </row>
    <row r="25" spans="1:10">
      <c r="A25" s="41">
        <v>17</v>
      </c>
      <c r="B25" s="46">
        <v>46029</v>
      </c>
      <c r="C25" s="42" t="s">
        <v>507</v>
      </c>
      <c r="D25" s="62" t="s">
        <v>386</v>
      </c>
      <c r="E25" s="43"/>
      <c r="F25" s="44"/>
      <c r="G25" s="43">
        <v>800</v>
      </c>
      <c r="H25" s="44"/>
      <c r="I25" s="43"/>
      <c r="J25" s="45"/>
    </row>
    <row r="26" spans="1:10">
      <c r="A26" s="41">
        <v>18</v>
      </c>
      <c r="B26" s="46">
        <v>46029</v>
      </c>
      <c r="C26" s="42" t="s">
        <v>508</v>
      </c>
      <c r="D26" s="62" t="s">
        <v>386</v>
      </c>
      <c r="E26" s="43"/>
      <c r="F26" s="44"/>
      <c r="G26" s="43">
        <v>2500</v>
      </c>
      <c r="H26" s="44"/>
      <c r="I26" s="43"/>
      <c r="J26" s="45"/>
    </row>
    <row r="27" spans="1:10">
      <c r="A27" s="41">
        <v>19</v>
      </c>
      <c r="B27" s="46">
        <v>46029</v>
      </c>
      <c r="C27" s="42" t="s">
        <v>509</v>
      </c>
      <c r="D27" s="62" t="s">
        <v>510</v>
      </c>
      <c r="E27" s="43"/>
      <c r="F27" s="44"/>
      <c r="G27" s="43">
        <v>400</v>
      </c>
      <c r="H27" s="44"/>
      <c r="I27" s="43"/>
      <c r="J27" s="45"/>
    </row>
    <row r="28" spans="1:10">
      <c r="A28" s="41">
        <v>20</v>
      </c>
      <c r="B28" s="46">
        <v>46029</v>
      </c>
      <c r="C28" s="42" t="s">
        <v>511</v>
      </c>
      <c r="D28" s="62" t="s">
        <v>512</v>
      </c>
      <c r="E28" s="43"/>
      <c r="F28" s="44"/>
      <c r="G28" s="43">
        <v>1000</v>
      </c>
      <c r="H28" s="44"/>
      <c r="I28" s="43"/>
      <c r="J28" s="45"/>
    </row>
    <row r="29" spans="1:10">
      <c r="A29" s="41">
        <v>21</v>
      </c>
      <c r="B29" s="46">
        <v>46029</v>
      </c>
      <c r="C29" s="42" t="s">
        <v>513</v>
      </c>
      <c r="D29" s="62" t="s">
        <v>514</v>
      </c>
      <c r="E29" s="43"/>
      <c r="F29" s="44"/>
      <c r="G29" s="43">
        <v>1196.25</v>
      </c>
      <c r="H29" s="44"/>
      <c r="I29" s="43"/>
      <c r="J29" s="45"/>
    </row>
    <row r="30" spans="1:10">
      <c r="A30" s="41">
        <v>22</v>
      </c>
      <c r="B30" s="46">
        <v>46029</v>
      </c>
      <c r="C30" s="42" t="s">
        <v>515</v>
      </c>
      <c r="D30" s="62" t="s">
        <v>516</v>
      </c>
      <c r="E30" s="43"/>
      <c r="F30" s="44"/>
      <c r="G30" s="43">
        <v>50.04</v>
      </c>
      <c r="H30" s="44"/>
      <c r="I30" s="43"/>
      <c r="J30" s="45"/>
    </row>
    <row r="31" spans="1:10">
      <c r="A31" s="41">
        <v>23</v>
      </c>
      <c r="B31" s="46">
        <v>46029</v>
      </c>
      <c r="C31" s="42" t="s">
        <v>517</v>
      </c>
      <c r="D31" s="62" t="s">
        <v>321</v>
      </c>
      <c r="E31" s="43"/>
      <c r="F31" s="44"/>
      <c r="G31" s="43">
        <v>200</v>
      </c>
      <c r="H31" s="44"/>
      <c r="I31" s="43"/>
      <c r="J31" s="45"/>
    </row>
    <row r="32" spans="1:10">
      <c r="A32" s="41">
        <v>24</v>
      </c>
      <c r="B32" s="46">
        <v>46029</v>
      </c>
      <c r="C32" s="42" t="s">
        <v>518</v>
      </c>
      <c r="D32" s="62" t="s">
        <v>519</v>
      </c>
      <c r="E32" s="43"/>
      <c r="F32" s="44"/>
      <c r="G32" s="43">
        <v>1000</v>
      </c>
      <c r="H32" s="44"/>
      <c r="I32" s="43"/>
      <c r="J32" s="45"/>
    </row>
    <row r="33" spans="1:10">
      <c r="A33" s="41">
        <v>25</v>
      </c>
      <c r="B33" s="46">
        <v>46029</v>
      </c>
      <c r="C33" s="42" t="s">
        <v>520</v>
      </c>
      <c r="D33" s="62" t="s">
        <v>521</v>
      </c>
      <c r="E33" s="43"/>
      <c r="F33" s="44"/>
      <c r="G33" s="43">
        <v>1500</v>
      </c>
      <c r="H33" s="44"/>
      <c r="I33" s="43"/>
      <c r="J33" s="45"/>
    </row>
    <row r="34" spans="1:10">
      <c r="A34" s="41">
        <v>26</v>
      </c>
      <c r="B34" s="46">
        <v>46029</v>
      </c>
      <c r="C34" s="42" t="s">
        <v>522</v>
      </c>
      <c r="D34" s="62" t="s">
        <v>523</v>
      </c>
      <c r="E34" s="43"/>
      <c r="F34" s="44"/>
      <c r="G34" s="43">
        <v>32.299999999999997</v>
      </c>
      <c r="H34" s="44"/>
      <c r="I34" s="43"/>
      <c r="J34" s="45"/>
    </row>
    <row r="35" spans="1:10">
      <c r="A35" s="41">
        <v>27</v>
      </c>
      <c r="B35" s="46">
        <v>46029</v>
      </c>
      <c r="C35" s="42" t="s">
        <v>524</v>
      </c>
      <c r="D35" s="62" t="s">
        <v>525</v>
      </c>
      <c r="E35" s="43"/>
      <c r="F35" s="44"/>
      <c r="G35" s="43">
        <v>108.02</v>
      </c>
      <c r="H35" s="44"/>
      <c r="I35" s="43"/>
      <c r="J35" s="45"/>
    </row>
    <row r="36" spans="1:10">
      <c r="A36" s="41">
        <v>28</v>
      </c>
      <c r="B36" s="46">
        <v>46029</v>
      </c>
      <c r="C36" s="42" t="s">
        <v>526</v>
      </c>
      <c r="D36" s="62" t="s">
        <v>527</v>
      </c>
      <c r="E36" s="43"/>
      <c r="F36" s="44"/>
      <c r="G36" s="43">
        <v>2500</v>
      </c>
      <c r="H36" s="44"/>
      <c r="I36" s="43"/>
      <c r="J36" s="45"/>
    </row>
    <row r="37" spans="1:10">
      <c r="A37" s="41">
        <v>29</v>
      </c>
      <c r="B37" s="46">
        <v>46029</v>
      </c>
      <c r="C37" s="42" t="s">
        <v>528</v>
      </c>
      <c r="D37" s="62" t="s">
        <v>529</v>
      </c>
      <c r="E37" s="43"/>
      <c r="F37" s="44"/>
      <c r="G37" s="43">
        <v>200</v>
      </c>
      <c r="H37" s="44"/>
      <c r="I37" s="43"/>
      <c r="J37" s="45"/>
    </row>
    <row r="38" spans="1:10">
      <c r="A38" s="41">
        <v>30</v>
      </c>
      <c r="B38" s="46">
        <v>46029</v>
      </c>
      <c r="C38" s="42" t="s">
        <v>530</v>
      </c>
      <c r="D38" s="62" t="s">
        <v>531</v>
      </c>
      <c r="E38" s="43"/>
      <c r="F38" s="44"/>
      <c r="G38" s="43">
        <v>500</v>
      </c>
      <c r="H38" s="44"/>
      <c r="I38" s="43"/>
      <c r="J38" s="45"/>
    </row>
    <row r="39" spans="1:10">
      <c r="A39" s="41">
        <v>31</v>
      </c>
      <c r="B39" s="46">
        <v>46029</v>
      </c>
      <c r="C39" s="42" t="s">
        <v>532</v>
      </c>
      <c r="D39" s="62" t="s">
        <v>531</v>
      </c>
      <c r="E39" s="43"/>
      <c r="F39" s="44"/>
      <c r="G39" s="43">
        <v>500</v>
      </c>
      <c r="H39" s="44"/>
      <c r="I39" s="43"/>
      <c r="J39" s="45"/>
    </row>
    <row r="40" spans="1:10">
      <c r="A40" s="41">
        <v>32</v>
      </c>
      <c r="B40" s="46">
        <v>46029</v>
      </c>
      <c r="C40" s="42" t="s">
        <v>533</v>
      </c>
      <c r="D40" s="62" t="s">
        <v>360</v>
      </c>
      <c r="E40" s="43"/>
      <c r="F40" s="44"/>
      <c r="G40" s="43">
        <v>465.57</v>
      </c>
      <c r="H40" s="44"/>
      <c r="I40" s="43"/>
      <c r="J40" s="45"/>
    </row>
    <row r="41" spans="1:10" s="9" customFormat="1" ht="12.45">
      <c r="A41" s="41">
        <v>33</v>
      </c>
      <c r="B41" s="46">
        <v>46029</v>
      </c>
      <c r="C41" s="42" t="s">
        <v>534</v>
      </c>
      <c r="D41" s="62" t="s">
        <v>535</v>
      </c>
      <c r="E41" s="43"/>
      <c r="F41" s="44"/>
      <c r="G41" s="43">
        <v>500</v>
      </c>
      <c r="H41" s="44"/>
      <c r="I41" s="43"/>
      <c r="J41" s="45"/>
    </row>
    <row r="42" spans="1:10" s="9" customFormat="1" ht="12.45">
      <c r="A42" s="41">
        <v>34</v>
      </c>
      <c r="B42" s="46">
        <v>46029</v>
      </c>
      <c r="C42" s="42" t="s">
        <v>536</v>
      </c>
      <c r="D42" s="62" t="s">
        <v>537</v>
      </c>
      <c r="E42" s="43"/>
      <c r="F42" s="44"/>
      <c r="G42" s="43">
        <v>500</v>
      </c>
      <c r="H42" s="44"/>
      <c r="I42" s="43"/>
      <c r="J42" s="45"/>
    </row>
    <row r="43" spans="1:10" s="9" customFormat="1" ht="12.45">
      <c r="A43" s="41">
        <v>35</v>
      </c>
      <c r="B43" s="46">
        <v>46029</v>
      </c>
      <c r="C43" s="42" t="s">
        <v>538</v>
      </c>
      <c r="D43" s="62" t="s">
        <v>539</v>
      </c>
      <c r="E43" s="43"/>
      <c r="F43" s="44"/>
      <c r="G43" s="43">
        <v>19.39</v>
      </c>
      <c r="H43" s="44"/>
      <c r="I43" s="43"/>
      <c r="J43" s="45"/>
    </row>
    <row r="44" spans="1:10">
      <c r="A44" s="41">
        <v>36</v>
      </c>
      <c r="B44" s="46">
        <v>46029</v>
      </c>
      <c r="C44" s="42" t="s">
        <v>540</v>
      </c>
      <c r="D44" s="62" t="s">
        <v>541</v>
      </c>
      <c r="E44" s="43"/>
      <c r="F44" s="44"/>
      <c r="G44" s="43">
        <v>250</v>
      </c>
      <c r="H44" s="44"/>
      <c r="I44" s="43"/>
      <c r="J44" s="45"/>
    </row>
    <row r="45" spans="1:10" s="61" customFormat="1" ht="21.45">
      <c r="A45" s="54">
        <v>37</v>
      </c>
      <c r="B45" s="55">
        <v>46029</v>
      </c>
      <c r="C45" s="56" t="s">
        <v>542</v>
      </c>
      <c r="D45" s="63" t="s">
        <v>2047</v>
      </c>
      <c r="E45" s="58"/>
      <c r="F45" s="59"/>
      <c r="G45" s="58">
        <v>571.55999999999995</v>
      </c>
      <c r="H45" s="59"/>
      <c r="I45" s="58"/>
      <c r="J45" s="60"/>
    </row>
    <row r="46" spans="1:10" s="61" customFormat="1" ht="21.45">
      <c r="A46" s="54">
        <v>38</v>
      </c>
      <c r="B46" s="55">
        <v>46029</v>
      </c>
      <c r="C46" s="56" t="s">
        <v>544</v>
      </c>
      <c r="D46" s="63" t="s">
        <v>2048</v>
      </c>
      <c r="E46" s="58"/>
      <c r="F46" s="59"/>
      <c r="G46" s="58">
        <v>1375.36</v>
      </c>
      <c r="H46" s="59"/>
      <c r="I46" s="58"/>
      <c r="J46" s="60"/>
    </row>
    <row r="47" spans="1:10">
      <c r="A47" s="41">
        <v>39</v>
      </c>
      <c r="B47" s="46">
        <v>46029</v>
      </c>
      <c r="C47" s="42" t="s">
        <v>545</v>
      </c>
      <c r="D47" s="62" t="s">
        <v>546</v>
      </c>
      <c r="E47" s="43"/>
      <c r="F47" s="44"/>
      <c r="G47" s="43">
        <v>1000</v>
      </c>
      <c r="H47" s="44"/>
      <c r="I47" s="43"/>
      <c r="J47" s="45"/>
    </row>
    <row r="48" spans="1:10">
      <c r="A48" s="41">
        <v>40</v>
      </c>
      <c r="B48" s="46">
        <v>46029</v>
      </c>
      <c r="C48" s="42" t="s">
        <v>547</v>
      </c>
      <c r="D48" s="62" t="s">
        <v>293</v>
      </c>
      <c r="E48" s="43"/>
      <c r="F48" s="44"/>
      <c r="G48" s="43">
        <v>2000</v>
      </c>
      <c r="H48" s="44"/>
      <c r="I48" s="43"/>
      <c r="J48" s="45"/>
    </row>
    <row r="49" spans="1:10">
      <c r="A49" s="41">
        <v>41</v>
      </c>
      <c r="B49" s="46">
        <v>46029</v>
      </c>
      <c r="C49" s="42" t="s">
        <v>548</v>
      </c>
      <c r="D49" s="62" t="s">
        <v>549</v>
      </c>
      <c r="E49" s="43"/>
      <c r="F49" s="44"/>
      <c r="G49" s="43">
        <v>900</v>
      </c>
      <c r="H49" s="44"/>
      <c r="I49" s="43"/>
      <c r="J49" s="45"/>
    </row>
    <row r="50" spans="1:10" s="9" customFormat="1" ht="12.45">
      <c r="A50" s="41">
        <v>42</v>
      </c>
      <c r="B50" s="46">
        <v>46029</v>
      </c>
      <c r="C50" s="42" t="s">
        <v>550</v>
      </c>
      <c r="D50" s="62" t="s">
        <v>551</v>
      </c>
      <c r="E50" s="43"/>
      <c r="F50" s="44"/>
      <c r="G50" s="43">
        <v>900.03</v>
      </c>
      <c r="H50" s="44"/>
      <c r="I50" s="43"/>
      <c r="J50" s="45"/>
    </row>
    <row r="51" spans="1:10">
      <c r="A51" s="41">
        <v>43</v>
      </c>
      <c r="B51" s="46">
        <v>46029</v>
      </c>
      <c r="C51" s="42" t="s">
        <v>552</v>
      </c>
      <c r="D51" s="62" t="s">
        <v>553</v>
      </c>
      <c r="E51" s="43"/>
      <c r="F51" s="44"/>
      <c r="G51" s="43">
        <v>3512.84</v>
      </c>
      <c r="H51" s="44"/>
      <c r="I51" s="43"/>
      <c r="J51" s="45"/>
    </row>
    <row r="52" spans="1:10">
      <c r="A52" s="41">
        <v>44</v>
      </c>
      <c r="B52" s="46">
        <v>46029</v>
      </c>
      <c r="C52" s="42" t="s">
        <v>554</v>
      </c>
      <c r="D52" s="62" t="s">
        <v>555</v>
      </c>
      <c r="E52" s="43"/>
      <c r="F52" s="44"/>
      <c r="G52" s="43">
        <v>800</v>
      </c>
      <c r="H52" s="44"/>
      <c r="I52" s="43"/>
      <c r="J52" s="45"/>
    </row>
    <row r="53" spans="1:10">
      <c r="A53" s="41">
        <v>45</v>
      </c>
      <c r="B53" s="46">
        <v>46029</v>
      </c>
      <c r="C53" s="42" t="s">
        <v>556</v>
      </c>
      <c r="D53" s="62" t="s">
        <v>167</v>
      </c>
      <c r="E53" s="43"/>
      <c r="F53" s="44"/>
      <c r="G53" s="43">
        <v>40</v>
      </c>
      <c r="H53" s="44"/>
      <c r="I53" s="43"/>
      <c r="J53" s="45"/>
    </row>
    <row r="54" spans="1:10">
      <c r="A54" s="41">
        <v>46</v>
      </c>
      <c r="B54" s="46">
        <v>46029</v>
      </c>
      <c r="C54" s="42" t="s">
        <v>557</v>
      </c>
      <c r="D54" s="62" t="s">
        <v>558</v>
      </c>
      <c r="E54" s="43"/>
      <c r="F54" s="44"/>
      <c r="G54" s="43">
        <v>158.84</v>
      </c>
      <c r="H54" s="44"/>
      <c r="I54" s="43"/>
      <c r="J54" s="45"/>
    </row>
    <row r="55" spans="1:10">
      <c r="A55" s="41">
        <v>47</v>
      </c>
      <c r="B55" s="46">
        <v>46029</v>
      </c>
      <c r="C55" s="42" t="s">
        <v>559</v>
      </c>
      <c r="D55" s="62" t="s">
        <v>560</v>
      </c>
      <c r="E55" s="43"/>
      <c r="F55" s="44"/>
      <c r="G55" s="43">
        <v>100</v>
      </c>
      <c r="H55" s="44"/>
      <c r="I55" s="43"/>
      <c r="J55" s="45"/>
    </row>
    <row r="56" spans="1:10">
      <c r="A56" s="41">
        <v>48</v>
      </c>
      <c r="B56" s="46">
        <v>46029</v>
      </c>
      <c r="C56" s="42" t="s">
        <v>561</v>
      </c>
      <c r="D56" s="62" t="s">
        <v>562</v>
      </c>
      <c r="E56" s="43"/>
      <c r="F56" s="44"/>
      <c r="G56" s="43">
        <v>135</v>
      </c>
      <c r="H56" s="44"/>
      <c r="I56" s="43"/>
      <c r="J56" s="45"/>
    </row>
    <row r="57" spans="1:10">
      <c r="A57" s="41">
        <v>49</v>
      </c>
      <c r="B57" s="46">
        <v>46029</v>
      </c>
      <c r="C57" s="42" t="s">
        <v>563</v>
      </c>
      <c r="D57" s="62" t="s">
        <v>564</v>
      </c>
      <c r="E57" s="43"/>
      <c r="F57" s="44"/>
      <c r="G57" s="43">
        <v>900</v>
      </c>
      <c r="H57" s="44"/>
      <c r="I57" s="43"/>
      <c r="J57" s="45"/>
    </row>
    <row r="58" spans="1:10">
      <c r="A58" s="41">
        <v>50</v>
      </c>
      <c r="B58" s="46">
        <v>46029</v>
      </c>
      <c r="C58" s="42" t="s">
        <v>565</v>
      </c>
      <c r="D58" s="62" t="s">
        <v>566</v>
      </c>
      <c r="E58" s="43"/>
      <c r="F58" s="44"/>
      <c r="G58" s="43"/>
      <c r="H58" s="44">
        <v>10216000</v>
      </c>
      <c r="I58" s="43"/>
      <c r="J58" s="45"/>
    </row>
    <row r="59" spans="1:10">
      <c r="A59" s="41">
        <v>51</v>
      </c>
      <c r="B59" s="46">
        <v>46029</v>
      </c>
      <c r="C59" s="42" t="s">
        <v>567</v>
      </c>
      <c r="D59" s="62" t="s">
        <v>568</v>
      </c>
      <c r="E59" s="43"/>
      <c r="F59" s="44"/>
      <c r="G59" s="43"/>
      <c r="H59" s="44">
        <v>60001000</v>
      </c>
      <c r="I59" s="43"/>
      <c r="J59" s="45"/>
    </row>
    <row r="60" spans="1:10" s="9" customFormat="1" thickBot="1">
      <c r="A60" s="47"/>
      <c r="B60" s="48"/>
      <c r="C60" s="48"/>
      <c r="D60" s="48" t="s">
        <v>4</v>
      </c>
      <c r="E60" s="50"/>
      <c r="F60" s="49">
        <f>F8</f>
        <v>8148538</v>
      </c>
      <c r="G60" s="50">
        <v>44007</v>
      </c>
      <c r="H60" s="49">
        <v>70217000</v>
      </c>
      <c r="I60" s="50">
        <v>44007</v>
      </c>
      <c r="J60" s="51">
        <f>J7+F60-H60</f>
        <v>229869878</v>
      </c>
    </row>
    <row r="62" spans="1:10">
      <c r="H62" s="10" t="s">
        <v>14</v>
      </c>
    </row>
    <row r="63" spans="1:10">
      <c r="H63" s="11" t="s">
        <v>15</v>
      </c>
    </row>
    <row r="204" spans="52:52">
      <c r="AZ204" s="1" t="s">
        <v>5</v>
      </c>
    </row>
  </sheetData>
  <mergeCells count="9">
    <mergeCell ref="A1:E2"/>
    <mergeCell ref="A3:J4"/>
    <mergeCell ref="A5:A6"/>
    <mergeCell ref="B5:B6"/>
    <mergeCell ref="C5:C6"/>
    <mergeCell ref="D5:D6"/>
    <mergeCell ref="E5:F5"/>
    <mergeCell ref="G5:H5"/>
    <mergeCell ref="I5:J5"/>
  </mergeCells>
  <pageMargins left="0.5" right="0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5DBA5-CA79-42FD-942A-C1E53B085B76}">
  <dimension ref="A1:AZ200"/>
  <sheetViews>
    <sheetView topLeftCell="A43" zoomScaleNormal="100" workbookViewId="0">
      <selection activeCell="J57" sqref="J57"/>
    </sheetView>
  </sheetViews>
  <sheetFormatPr defaultColWidth="9.15234375" defaultRowHeight="12.9"/>
  <cols>
    <col min="1" max="1" width="2.3828125" style="1" bestFit="1" customWidth="1"/>
    <col min="2" max="2" width="6.84375" style="1" bestFit="1" customWidth="1"/>
    <col min="3" max="3" width="10.23046875" style="6" bestFit="1" customWidth="1"/>
    <col min="4" max="4" width="23.15234375" style="1" customWidth="1"/>
    <col min="5" max="5" width="8.4609375" style="7" bestFit="1" customWidth="1"/>
    <col min="6" max="6" width="9.765625" style="1" bestFit="1" customWidth="1"/>
    <col min="7" max="9" width="8.84375" style="1" bestFit="1" customWidth="1"/>
    <col min="10" max="10" width="10.61328125" style="1" bestFit="1" customWidth="1"/>
    <col min="11" max="16384" width="9.15234375" style="1"/>
  </cols>
  <sheetData>
    <row r="1" spans="1:52" ht="28.3" customHeight="1">
      <c r="A1" s="79" t="s">
        <v>17</v>
      </c>
      <c r="B1" s="80"/>
      <c r="C1" s="80"/>
      <c r="D1" s="80"/>
      <c r="E1" s="80"/>
    </row>
    <row r="2" spans="1:52" ht="28.3" customHeight="1">
      <c r="A2" s="80"/>
      <c r="B2" s="80"/>
      <c r="C2" s="80"/>
      <c r="D2" s="80"/>
      <c r="E2" s="80"/>
    </row>
    <row r="3" spans="1:52">
      <c r="A3" s="81" t="s">
        <v>11</v>
      </c>
      <c r="B3" s="81"/>
      <c r="C3" s="81"/>
      <c r="D3" s="81"/>
      <c r="E3" s="81"/>
      <c r="F3" s="81"/>
      <c r="G3" s="81"/>
      <c r="H3" s="81"/>
      <c r="I3" s="81"/>
      <c r="J3" s="81"/>
      <c r="AS3" s="2">
        <v>43921</v>
      </c>
      <c r="AZ3" s="1">
        <f>(AQ3-4)*20000</f>
        <v>-80000</v>
      </c>
    </row>
    <row r="4" spans="1:52" ht="13.3" thickBot="1">
      <c r="A4" s="81"/>
      <c r="B4" s="81"/>
      <c r="C4" s="81"/>
      <c r="D4" s="81"/>
      <c r="E4" s="81"/>
      <c r="F4" s="81"/>
      <c r="G4" s="81"/>
      <c r="H4" s="81"/>
      <c r="I4" s="81"/>
      <c r="J4" s="81"/>
    </row>
    <row r="5" spans="1:52">
      <c r="A5" s="90" t="s">
        <v>0</v>
      </c>
      <c r="B5" s="92" t="s">
        <v>9</v>
      </c>
      <c r="C5" s="96" t="s">
        <v>1</v>
      </c>
      <c r="D5" s="92" t="s">
        <v>10</v>
      </c>
      <c r="E5" s="94" t="s">
        <v>13</v>
      </c>
      <c r="F5" s="94"/>
      <c r="G5" s="94" t="s">
        <v>8</v>
      </c>
      <c r="H5" s="94"/>
      <c r="I5" s="94" t="s">
        <v>7</v>
      </c>
      <c r="J5" s="95"/>
    </row>
    <row r="6" spans="1:52">
      <c r="A6" s="91"/>
      <c r="B6" s="93"/>
      <c r="C6" s="97"/>
      <c r="D6" s="93"/>
      <c r="E6" s="3" t="s">
        <v>2</v>
      </c>
      <c r="F6" s="4" t="s">
        <v>6</v>
      </c>
      <c r="G6" s="4" t="s">
        <v>2</v>
      </c>
      <c r="H6" s="4" t="s">
        <v>6</v>
      </c>
      <c r="I6" s="4" t="s">
        <v>2</v>
      </c>
      <c r="J6" s="8" t="s">
        <v>6</v>
      </c>
    </row>
    <row r="7" spans="1:52">
      <c r="A7" s="41"/>
      <c r="B7" s="42"/>
      <c r="C7" s="42"/>
      <c r="D7" s="62" t="s">
        <v>12</v>
      </c>
      <c r="E7" s="43"/>
      <c r="F7" s="44"/>
      <c r="G7" s="43"/>
      <c r="H7" s="44"/>
      <c r="I7" s="43">
        <v>44007</v>
      </c>
      <c r="J7" s="45">
        <v>229869878</v>
      </c>
    </row>
    <row r="8" spans="1:52">
      <c r="A8" s="41"/>
      <c r="B8" s="42"/>
      <c r="C8" s="42"/>
      <c r="D8" s="62" t="s">
        <v>16</v>
      </c>
      <c r="E8" s="43">
        <v>45692</v>
      </c>
      <c r="F8" s="44">
        <f>70217000+1452</f>
        <v>70218452</v>
      </c>
      <c r="G8" s="43"/>
      <c r="H8" s="44"/>
      <c r="I8" s="43"/>
      <c r="J8" s="45"/>
    </row>
    <row r="9" spans="1:52">
      <c r="A9" s="41">
        <v>1</v>
      </c>
      <c r="B9" s="46">
        <v>46030</v>
      </c>
      <c r="C9" s="42" t="s">
        <v>569</v>
      </c>
      <c r="D9" s="62" t="s">
        <v>195</v>
      </c>
      <c r="E9" s="43"/>
      <c r="F9" s="44"/>
      <c r="G9" s="43">
        <v>400</v>
      </c>
      <c r="H9" s="44"/>
      <c r="I9" s="43"/>
      <c r="J9" s="45"/>
    </row>
    <row r="10" spans="1:52">
      <c r="A10" s="41">
        <v>2</v>
      </c>
      <c r="B10" s="46">
        <v>46030</v>
      </c>
      <c r="C10" s="42" t="s">
        <v>570</v>
      </c>
      <c r="D10" s="62" t="s">
        <v>571</v>
      </c>
      <c r="E10" s="43"/>
      <c r="F10" s="44"/>
      <c r="G10" s="43">
        <v>125.19</v>
      </c>
      <c r="H10" s="44"/>
      <c r="I10" s="43"/>
      <c r="J10" s="45"/>
      <c r="AX10" s="5" t="s">
        <v>3</v>
      </c>
    </row>
    <row r="11" spans="1:52">
      <c r="A11" s="41">
        <v>3</v>
      </c>
      <c r="B11" s="46">
        <v>46030</v>
      </c>
      <c r="C11" s="42" t="s">
        <v>572</v>
      </c>
      <c r="D11" s="62" t="s">
        <v>573</v>
      </c>
      <c r="E11" s="43"/>
      <c r="F11" s="44"/>
      <c r="G11" s="43">
        <v>51.6</v>
      </c>
      <c r="H11" s="44"/>
      <c r="I11" s="43"/>
      <c r="J11" s="45"/>
    </row>
    <row r="12" spans="1:52">
      <c r="A12" s="41">
        <v>4</v>
      </c>
      <c r="B12" s="46">
        <v>46030</v>
      </c>
      <c r="C12" s="42" t="s">
        <v>574</v>
      </c>
      <c r="D12" s="62" t="s">
        <v>575</v>
      </c>
      <c r="E12" s="43"/>
      <c r="F12" s="44"/>
      <c r="G12" s="43">
        <v>3000</v>
      </c>
      <c r="H12" s="44"/>
      <c r="I12" s="43"/>
      <c r="J12" s="45"/>
    </row>
    <row r="13" spans="1:52">
      <c r="A13" s="41">
        <v>5</v>
      </c>
      <c r="B13" s="46">
        <v>46030</v>
      </c>
      <c r="C13" s="42" t="s">
        <v>576</v>
      </c>
      <c r="D13" s="62" t="s">
        <v>577</v>
      </c>
      <c r="E13" s="43"/>
      <c r="F13" s="44"/>
      <c r="G13" s="43">
        <v>200</v>
      </c>
      <c r="H13" s="44"/>
      <c r="I13" s="43"/>
      <c r="J13" s="45"/>
    </row>
    <row r="14" spans="1:52">
      <c r="A14" s="41">
        <v>6</v>
      </c>
      <c r="B14" s="46">
        <v>46030</v>
      </c>
      <c r="C14" s="42" t="s">
        <v>578</v>
      </c>
      <c r="D14" s="62" t="s">
        <v>579</v>
      </c>
      <c r="E14" s="43"/>
      <c r="F14" s="44"/>
      <c r="G14" s="43">
        <v>150</v>
      </c>
      <c r="H14" s="44"/>
      <c r="I14" s="43"/>
      <c r="J14" s="45"/>
    </row>
    <row r="15" spans="1:52">
      <c r="A15" s="41">
        <v>7</v>
      </c>
      <c r="B15" s="46">
        <v>46030</v>
      </c>
      <c r="C15" s="42" t="s">
        <v>580</v>
      </c>
      <c r="D15" s="62" t="s">
        <v>579</v>
      </c>
      <c r="E15" s="43"/>
      <c r="F15" s="44"/>
      <c r="G15" s="43">
        <v>100</v>
      </c>
      <c r="H15" s="44"/>
      <c r="I15" s="43"/>
      <c r="J15" s="45"/>
    </row>
    <row r="16" spans="1:52">
      <c r="A16" s="41">
        <v>8</v>
      </c>
      <c r="B16" s="46">
        <v>46030</v>
      </c>
      <c r="C16" s="42" t="s">
        <v>581</v>
      </c>
      <c r="D16" s="62" t="s">
        <v>579</v>
      </c>
      <c r="E16" s="43"/>
      <c r="F16" s="44"/>
      <c r="G16" s="43">
        <v>300</v>
      </c>
      <c r="H16" s="44"/>
      <c r="I16" s="43"/>
      <c r="J16" s="45"/>
    </row>
    <row r="17" spans="1:10">
      <c r="A17" s="41">
        <v>9</v>
      </c>
      <c r="B17" s="46">
        <v>46030</v>
      </c>
      <c r="C17" s="42" t="s">
        <v>582</v>
      </c>
      <c r="D17" s="62" t="s">
        <v>583</v>
      </c>
      <c r="E17" s="43"/>
      <c r="F17" s="44"/>
      <c r="G17" s="43">
        <v>192.41</v>
      </c>
      <c r="H17" s="44"/>
      <c r="I17" s="43"/>
      <c r="J17" s="45"/>
    </row>
    <row r="18" spans="1:10">
      <c r="A18" s="41">
        <v>10</v>
      </c>
      <c r="B18" s="46">
        <v>46030</v>
      </c>
      <c r="C18" s="42" t="s">
        <v>584</v>
      </c>
      <c r="D18" s="62" t="s">
        <v>585</v>
      </c>
      <c r="E18" s="43"/>
      <c r="F18" s="44"/>
      <c r="G18" s="43">
        <v>100</v>
      </c>
      <c r="H18" s="44"/>
      <c r="I18" s="43"/>
      <c r="J18" s="45"/>
    </row>
    <row r="19" spans="1:10">
      <c r="A19" s="41">
        <v>11</v>
      </c>
      <c r="B19" s="46">
        <v>46030</v>
      </c>
      <c r="C19" s="42" t="s">
        <v>586</v>
      </c>
      <c r="D19" s="62" t="s">
        <v>587</v>
      </c>
      <c r="E19" s="43"/>
      <c r="F19" s="44"/>
      <c r="G19" s="43">
        <v>600</v>
      </c>
      <c r="H19" s="44"/>
      <c r="I19" s="43"/>
      <c r="J19" s="45"/>
    </row>
    <row r="20" spans="1:10">
      <c r="A20" s="41">
        <v>12</v>
      </c>
      <c r="B20" s="46">
        <v>46030</v>
      </c>
      <c r="C20" s="42" t="s">
        <v>588</v>
      </c>
      <c r="D20" s="62" t="s">
        <v>589</v>
      </c>
      <c r="E20" s="43"/>
      <c r="F20" s="44"/>
      <c r="G20" s="43">
        <v>785.59</v>
      </c>
      <c r="H20" s="44"/>
      <c r="I20" s="43"/>
      <c r="J20" s="45"/>
    </row>
    <row r="21" spans="1:10">
      <c r="A21" s="41">
        <v>13</v>
      </c>
      <c r="B21" s="46">
        <v>46030</v>
      </c>
      <c r="C21" s="42" t="s">
        <v>590</v>
      </c>
      <c r="D21" s="62" t="s">
        <v>102</v>
      </c>
      <c r="E21" s="43"/>
      <c r="F21" s="44"/>
      <c r="G21" s="43">
        <v>757.33</v>
      </c>
      <c r="H21" s="44"/>
      <c r="I21" s="43"/>
      <c r="J21" s="45"/>
    </row>
    <row r="22" spans="1:10">
      <c r="A22" s="41">
        <v>14</v>
      </c>
      <c r="B22" s="46">
        <v>46030</v>
      </c>
      <c r="C22" s="42" t="s">
        <v>591</v>
      </c>
      <c r="D22" s="62" t="s">
        <v>592</v>
      </c>
      <c r="E22" s="43"/>
      <c r="F22" s="44"/>
      <c r="G22" s="43">
        <v>341.03</v>
      </c>
      <c r="H22" s="44"/>
      <c r="I22" s="43"/>
      <c r="J22" s="45"/>
    </row>
    <row r="23" spans="1:10">
      <c r="A23" s="41">
        <v>15</v>
      </c>
      <c r="B23" s="46">
        <v>46030</v>
      </c>
      <c r="C23" s="42" t="s">
        <v>593</v>
      </c>
      <c r="D23" s="62" t="s">
        <v>594</v>
      </c>
      <c r="E23" s="43"/>
      <c r="F23" s="44"/>
      <c r="G23" s="43">
        <v>2500</v>
      </c>
      <c r="H23" s="44"/>
      <c r="I23" s="43"/>
      <c r="J23" s="45"/>
    </row>
    <row r="24" spans="1:10">
      <c r="A24" s="41">
        <v>16</v>
      </c>
      <c r="B24" s="46">
        <v>46030</v>
      </c>
      <c r="C24" s="42" t="s">
        <v>595</v>
      </c>
      <c r="D24" s="62" t="s">
        <v>596</v>
      </c>
      <c r="E24" s="43"/>
      <c r="F24" s="44"/>
      <c r="G24" s="43">
        <v>2000</v>
      </c>
      <c r="H24" s="44"/>
      <c r="I24" s="43"/>
      <c r="J24" s="45"/>
    </row>
    <row r="25" spans="1:10">
      <c r="A25" s="41">
        <v>17</v>
      </c>
      <c r="B25" s="46">
        <v>46030</v>
      </c>
      <c r="C25" s="42" t="s">
        <v>597</v>
      </c>
      <c r="D25" s="62" t="s">
        <v>598</v>
      </c>
      <c r="E25" s="43"/>
      <c r="F25" s="44"/>
      <c r="G25" s="43">
        <v>3410</v>
      </c>
      <c r="H25" s="44"/>
      <c r="I25" s="43"/>
      <c r="J25" s="45"/>
    </row>
    <row r="26" spans="1:10">
      <c r="A26" s="41">
        <v>18</v>
      </c>
      <c r="B26" s="46">
        <v>46030</v>
      </c>
      <c r="C26" s="42" t="s">
        <v>599</v>
      </c>
      <c r="D26" s="62" t="s">
        <v>598</v>
      </c>
      <c r="E26" s="43"/>
      <c r="F26" s="44"/>
      <c r="G26" s="43">
        <v>3411</v>
      </c>
      <c r="H26" s="44"/>
      <c r="I26" s="43"/>
      <c r="J26" s="45"/>
    </row>
    <row r="27" spans="1:10">
      <c r="A27" s="41">
        <v>19</v>
      </c>
      <c r="B27" s="46">
        <v>46030</v>
      </c>
      <c r="C27" s="42" t="s">
        <v>600</v>
      </c>
      <c r="D27" s="62" t="s">
        <v>601</v>
      </c>
      <c r="E27" s="43"/>
      <c r="F27" s="44"/>
      <c r="G27" s="43">
        <v>450</v>
      </c>
      <c r="H27" s="44"/>
      <c r="I27" s="43"/>
      <c r="J27" s="45"/>
    </row>
    <row r="28" spans="1:10">
      <c r="A28" s="41">
        <v>20</v>
      </c>
      <c r="B28" s="46">
        <v>46030</v>
      </c>
      <c r="C28" s="42" t="s">
        <v>602</v>
      </c>
      <c r="D28" s="62" t="s">
        <v>603</v>
      </c>
      <c r="E28" s="43"/>
      <c r="F28" s="44"/>
      <c r="G28" s="43">
        <v>1000</v>
      </c>
      <c r="H28" s="44"/>
      <c r="I28" s="43"/>
      <c r="J28" s="45"/>
    </row>
    <row r="29" spans="1:10">
      <c r="A29" s="41">
        <v>21</v>
      </c>
      <c r="B29" s="46">
        <v>46030</v>
      </c>
      <c r="C29" s="42" t="s">
        <v>604</v>
      </c>
      <c r="D29" s="62" t="s">
        <v>605</v>
      </c>
      <c r="E29" s="43"/>
      <c r="F29" s="44"/>
      <c r="G29" s="43">
        <v>2000</v>
      </c>
      <c r="H29" s="44"/>
      <c r="I29" s="43"/>
      <c r="J29" s="45"/>
    </row>
    <row r="30" spans="1:10">
      <c r="A30" s="41">
        <v>22</v>
      </c>
      <c r="B30" s="46">
        <v>46030</v>
      </c>
      <c r="C30" s="42" t="s">
        <v>606</v>
      </c>
      <c r="D30" s="62" t="s">
        <v>607</v>
      </c>
      <c r="E30" s="43"/>
      <c r="F30" s="44"/>
      <c r="G30" s="43">
        <v>1100</v>
      </c>
      <c r="H30" s="44"/>
      <c r="I30" s="43"/>
      <c r="J30" s="45"/>
    </row>
    <row r="31" spans="1:10">
      <c r="A31" s="41">
        <v>23</v>
      </c>
      <c r="B31" s="46">
        <v>46030</v>
      </c>
      <c r="C31" s="42" t="s">
        <v>608</v>
      </c>
      <c r="D31" s="62" t="s">
        <v>609</v>
      </c>
      <c r="E31" s="43"/>
      <c r="F31" s="44"/>
      <c r="G31" s="43">
        <v>200</v>
      </c>
      <c r="H31" s="44"/>
      <c r="I31" s="43"/>
      <c r="J31" s="45"/>
    </row>
    <row r="32" spans="1:10">
      <c r="A32" s="41">
        <v>24</v>
      </c>
      <c r="B32" s="46">
        <v>46030</v>
      </c>
      <c r="C32" s="42" t="s">
        <v>610</v>
      </c>
      <c r="D32" s="62" t="s">
        <v>611</v>
      </c>
      <c r="E32" s="43"/>
      <c r="F32" s="44"/>
      <c r="G32" s="43">
        <v>200</v>
      </c>
      <c r="H32" s="44"/>
      <c r="I32" s="43"/>
      <c r="J32" s="45"/>
    </row>
    <row r="33" spans="1:10">
      <c r="A33" s="41">
        <v>25</v>
      </c>
      <c r="B33" s="46">
        <v>46030</v>
      </c>
      <c r="C33" s="42" t="s">
        <v>612</v>
      </c>
      <c r="D33" s="62" t="s">
        <v>613</v>
      </c>
      <c r="E33" s="43"/>
      <c r="F33" s="44"/>
      <c r="G33" s="43">
        <v>4850</v>
      </c>
      <c r="H33" s="44"/>
      <c r="I33" s="43"/>
      <c r="J33" s="45"/>
    </row>
    <row r="34" spans="1:10">
      <c r="A34" s="41">
        <v>26</v>
      </c>
      <c r="B34" s="46">
        <v>46030</v>
      </c>
      <c r="C34" s="42" t="s">
        <v>614</v>
      </c>
      <c r="D34" s="62" t="s">
        <v>615</v>
      </c>
      <c r="E34" s="43"/>
      <c r="F34" s="44"/>
      <c r="G34" s="43">
        <v>2500</v>
      </c>
      <c r="H34" s="44"/>
      <c r="I34" s="43"/>
      <c r="J34" s="45"/>
    </row>
    <row r="35" spans="1:10">
      <c r="A35" s="41">
        <v>27</v>
      </c>
      <c r="B35" s="46">
        <v>46030</v>
      </c>
      <c r="C35" s="42" t="s">
        <v>616</v>
      </c>
      <c r="D35" s="62" t="s">
        <v>617</v>
      </c>
      <c r="E35" s="43"/>
      <c r="F35" s="44"/>
      <c r="G35" s="43">
        <v>2300</v>
      </c>
      <c r="H35" s="44"/>
      <c r="I35" s="43"/>
      <c r="J35" s="45"/>
    </row>
    <row r="36" spans="1:10">
      <c r="A36" s="41">
        <v>28</v>
      </c>
      <c r="B36" s="46">
        <v>46030</v>
      </c>
      <c r="C36" s="42" t="s">
        <v>618</v>
      </c>
      <c r="D36" s="62" t="s">
        <v>619</v>
      </c>
      <c r="E36" s="43"/>
      <c r="F36" s="44"/>
      <c r="G36" s="43">
        <v>1817.02</v>
      </c>
      <c r="H36" s="44"/>
      <c r="I36" s="43"/>
      <c r="J36" s="45"/>
    </row>
    <row r="37" spans="1:10">
      <c r="A37" s="41">
        <v>29</v>
      </c>
      <c r="B37" s="46">
        <v>46030</v>
      </c>
      <c r="C37" s="42" t="s">
        <v>620</v>
      </c>
      <c r="D37" s="62" t="s">
        <v>179</v>
      </c>
      <c r="E37" s="43"/>
      <c r="F37" s="44"/>
      <c r="G37" s="43">
        <v>100</v>
      </c>
      <c r="H37" s="44"/>
      <c r="I37" s="43"/>
      <c r="J37" s="45"/>
    </row>
    <row r="38" spans="1:10">
      <c r="A38" s="41">
        <v>30</v>
      </c>
      <c r="B38" s="46">
        <v>46030</v>
      </c>
      <c r="C38" s="42" t="s">
        <v>621</v>
      </c>
      <c r="D38" s="62" t="s">
        <v>622</v>
      </c>
      <c r="E38" s="43"/>
      <c r="F38" s="44"/>
      <c r="G38" s="43">
        <v>1100</v>
      </c>
      <c r="H38" s="44"/>
      <c r="I38" s="43"/>
      <c r="J38" s="45"/>
    </row>
    <row r="39" spans="1:10">
      <c r="A39" s="41">
        <v>31</v>
      </c>
      <c r="B39" s="46">
        <v>46030</v>
      </c>
      <c r="C39" s="42" t="s">
        <v>623</v>
      </c>
      <c r="D39" s="62" t="s">
        <v>510</v>
      </c>
      <c r="E39" s="43"/>
      <c r="F39" s="44"/>
      <c r="G39" s="43">
        <v>2753</v>
      </c>
      <c r="H39" s="44"/>
      <c r="I39" s="43"/>
      <c r="J39" s="45"/>
    </row>
    <row r="40" spans="1:10">
      <c r="A40" s="41">
        <v>32</v>
      </c>
      <c r="B40" s="46">
        <v>46030</v>
      </c>
      <c r="C40" s="42" t="s">
        <v>624</v>
      </c>
      <c r="D40" s="62" t="s">
        <v>386</v>
      </c>
      <c r="E40" s="43"/>
      <c r="F40" s="44"/>
      <c r="G40" s="43">
        <v>5000</v>
      </c>
      <c r="H40" s="44"/>
      <c r="I40" s="43"/>
      <c r="J40" s="45"/>
    </row>
    <row r="41" spans="1:10" s="9" customFormat="1" ht="12.45">
      <c r="A41" s="41">
        <v>33</v>
      </c>
      <c r="B41" s="46">
        <v>46030</v>
      </c>
      <c r="C41" s="42" t="s">
        <v>625</v>
      </c>
      <c r="D41" s="62" t="s">
        <v>626</v>
      </c>
      <c r="E41" s="43"/>
      <c r="F41" s="44"/>
      <c r="G41" s="43">
        <v>65.53</v>
      </c>
      <c r="H41" s="44"/>
      <c r="I41" s="43"/>
      <c r="J41" s="45"/>
    </row>
    <row r="42" spans="1:10" s="9" customFormat="1" ht="12.45">
      <c r="A42" s="41">
        <v>34</v>
      </c>
      <c r="B42" s="46">
        <v>46030</v>
      </c>
      <c r="C42" s="42" t="s">
        <v>627</v>
      </c>
      <c r="D42" s="62" t="s">
        <v>628</v>
      </c>
      <c r="E42" s="43"/>
      <c r="F42" s="44"/>
      <c r="G42" s="43">
        <v>167.91</v>
      </c>
      <c r="H42" s="44"/>
      <c r="I42" s="43"/>
      <c r="J42" s="45"/>
    </row>
    <row r="43" spans="1:10" s="9" customFormat="1" ht="12.45">
      <c r="A43" s="41">
        <v>35</v>
      </c>
      <c r="B43" s="46">
        <v>46030</v>
      </c>
      <c r="C43" s="42" t="s">
        <v>629</v>
      </c>
      <c r="D43" s="62" t="s">
        <v>630</v>
      </c>
      <c r="E43" s="43"/>
      <c r="F43" s="44"/>
      <c r="G43" s="43">
        <v>86.15</v>
      </c>
      <c r="H43" s="44"/>
      <c r="I43" s="43"/>
      <c r="J43" s="45"/>
    </row>
    <row r="44" spans="1:10">
      <c r="A44" s="41">
        <v>36</v>
      </c>
      <c r="B44" s="46">
        <v>46030</v>
      </c>
      <c r="C44" s="42" t="s">
        <v>631</v>
      </c>
      <c r="D44" s="62" t="s">
        <v>632</v>
      </c>
      <c r="E44" s="43"/>
      <c r="F44" s="44"/>
      <c r="G44" s="43">
        <v>210.37</v>
      </c>
      <c r="H44" s="44"/>
      <c r="I44" s="43"/>
      <c r="J44" s="45"/>
    </row>
    <row r="45" spans="1:10">
      <c r="A45" s="41">
        <v>37</v>
      </c>
      <c r="B45" s="46">
        <v>46030</v>
      </c>
      <c r="C45" s="42" t="s">
        <v>633</v>
      </c>
      <c r="D45" s="62" t="s">
        <v>634</v>
      </c>
      <c r="E45" s="43"/>
      <c r="F45" s="44"/>
      <c r="G45" s="43">
        <v>800</v>
      </c>
      <c r="H45" s="44"/>
      <c r="I45" s="43"/>
      <c r="J45" s="45"/>
    </row>
    <row r="46" spans="1:10">
      <c r="A46" s="41">
        <v>38</v>
      </c>
      <c r="B46" s="46">
        <v>46030</v>
      </c>
      <c r="C46" s="42" t="s">
        <v>635</v>
      </c>
      <c r="D46" s="62" t="s">
        <v>636</v>
      </c>
      <c r="E46" s="43"/>
      <c r="F46" s="44"/>
      <c r="G46" s="43">
        <v>330</v>
      </c>
      <c r="H46" s="44"/>
      <c r="I46" s="43"/>
      <c r="J46" s="45"/>
    </row>
    <row r="47" spans="1:10">
      <c r="A47" s="41">
        <v>39</v>
      </c>
      <c r="B47" s="46">
        <v>46030</v>
      </c>
      <c r="C47" s="42" t="s">
        <v>637</v>
      </c>
      <c r="D47" s="62" t="s">
        <v>638</v>
      </c>
      <c r="E47" s="43"/>
      <c r="F47" s="44"/>
      <c r="G47" s="43">
        <v>100</v>
      </c>
      <c r="H47" s="44"/>
      <c r="I47" s="43"/>
      <c r="J47" s="45"/>
    </row>
    <row r="48" spans="1:10">
      <c r="A48" s="41">
        <v>40</v>
      </c>
      <c r="B48" s="46">
        <v>46030</v>
      </c>
      <c r="C48" s="42" t="s">
        <v>639</v>
      </c>
      <c r="D48" s="62" t="s">
        <v>640</v>
      </c>
      <c r="E48" s="43"/>
      <c r="F48" s="44"/>
      <c r="G48" s="43">
        <v>57.67</v>
      </c>
      <c r="H48" s="44"/>
      <c r="I48" s="43"/>
      <c r="J48" s="45"/>
    </row>
    <row r="49" spans="1:10">
      <c r="A49" s="41">
        <v>41</v>
      </c>
      <c r="B49" s="46">
        <v>46030</v>
      </c>
      <c r="C49" s="42" t="s">
        <v>641</v>
      </c>
      <c r="D49" s="62" t="s">
        <v>642</v>
      </c>
      <c r="E49" s="43"/>
      <c r="F49" s="44"/>
      <c r="G49" s="43">
        <v>300</v>
      </c>
      <c r="H49" s="44"/>
      <c r="I49" s="43"/>
      <c r="J49" s="45"/>
    </row>
    <row r="50" spans="1:10" s="9" customFormat="1" ht="12.45">
      <c r="A50" s="41">
        <v>42</v>
      </c>
      <c r="B50" s="46">
        <v>46030</v>
      </c>
      <c r="C50" s="42" t="s">
        <v>643</v>
      </c>
      <c r="D50" s="62" t="s">
        <v>644</v>
      </c>
      <c r="E50" s="43"/>
      <c r="F50" s="44"/>
      <c r="G50" s="43">
        <v>1500</v>
      </c>
      <c r="H50" s="44"/>
      <c r="I50" s="43"/>
      <c r="J50" s="45"/>
    </row>
    <row r="51" spans="1:10">
      <c r="A51" s="41">
        <v>43</v>
      </c>
      <c r="B51" s="46">
        <v>46030</v>
      </c>
      <c r="C51" s="42" t="s">
        <v>645</v>
      </c>
      <c r="D51" s="62" t="s">
        <v>646</v>
      </c>
      <c r="E51" s="43"/>
      <c r="F51" s="44"/>
      <c r="G51" s="43">
        <v>113.76</v>
      </c>
      <c r="H51" s="44"/>
      <c r="I51" s="43"/>
      <c r="J51" s="45"/>
    </row>
    <row r="52" spans="1:10">
      <c r="A52" s="41">
        <v>44</v>
      </c>
      <c r="B52" s="46">
        <v>46030</v>
      </c>
      <c r="C52" s="42" t="s">
        <v>647</v>
      </c>
      <c r="D52" s="62" t="s">
        <v>648</v>
      </c>
      <c r="E52" s="43"/>
      <c r="F52" s="44"/>
      <c r="G52" s="43">
        <v>500</v>
      </c>
      <c r="H52" s="44"/>
      <c r="I52" s="43"/>
      <c r="J52" s="45"/>
    </row>
    <row r="53" spans="1:10">
      <c r="A53" s="41">
        <v>45</v>
      </c>
      <c r="B53" s="46">
        <v>46030</v>
      </c>
      <c r="C53" s="42" t="s">
        <v>649</v>
      </c>
      <c r="D53" s="62" t="s">
        <v>211</v>
      </c>
      <c r="E53" s="43"/>
      <c r="F53" s="44"/>
      <c r="G53" s="43">
        <v>59.07</v>
      </c>
      <c r="H53" s="44"/>
      <c r="I53" s="43"/>
      <c r="J53" s="45"/>
    </row>
    <row r="54" spans="1:10">
      <c r="A54" s="41">
        <v>46</v>
      </c>
      <c r="B54" s="46">
        <v>46030</v>
      </c>
      <c r="C54" s="42" t="s">
        <v>650</v>
      </c>
      <c r="D54" s="62" t="s">
        <v>45</v>
      </c>
      <c r="E54" s="43"/>
      <c r="F54" s="44"/>
      <c r="G54" s="43">
        <v>94.9</v>
      </c>
      <c r="H54" s="44"/>
      <c r="I54" s="43"/>
      <c r="J54" s="45"/>
    </row>
    <row r="55" spans="1:10">
      <c r="A55" s="41">
        <v>47</v>
      </c>
      <c r="B55" s="46">
        <v>46030</v>
      </c>
      <c r="C55" s="42" t="s">
        <v>651</v>
      </c>
      <c r="D55" s="62" t="s">
        <v>573</v>
      </c>
      <c r="E55" s="43"/>
      <c r="F55" s="44"/>
      <c r="G55" s="43"/>
      <c r="H55" s="44">
        <v>4692000</v>
      </c>
      <c r="I55" s="43"/>
      <c r="J55" s="45"/>
    </row>
    <row r="56" spans="1:10" s="9" customFormat="1" thickBot="1">
      <c r="A56" s="47"/>
      <c r="B56" s="48"/>
      <c r="C56" s="48"/>
      <c r="D56" s="48" t="s">
        <v>4</v>
      </c>
      <c r="E56" s="50"/>
      <c r="F56" s="49">
        <f>F8</f>
        <v>70218452</v>
      </c>
      <c r="G56" s="50">
        <v>48179.53</v>
      </c>
      <c r="H56" s="49">
        <v>4692000</v>
      </c>
      <c r="I56" s="50">
        <v>41519.47</v>
      </c>
      <c r="J56" s="51">
        <f>F56-H56+J7</f>
        <v>295396330</v>
      </c>
    </row>
    <row r="58" spans="1:10">
      <c r="H58" s="10" t="s">
        <v>14</v>
      </c>
    </row>
    <row r="59" spans="1:10">
      <c r="H59" s="11" t="s">
        <v>15</v>
      </c>
    </row>
    <row r="200" spans="52:52">
      <c r="AZ200" s="1" t="s">
        <v>5</v>
      </c>
    </row>
  </sheetData>
  <mergeCells count="9">
    <mergeCell ref="A1:E2"/>
    <mergeCell ref="A3:J4"/>
    <mergeCell ref="A5:A6"/>
    <mergeCell ref="B5:B6"/>
    <mergeCell ref="C5:C6"/>
    <mergeCell ref="D5:D6"/>
    <mergeCell ref="E5:F5"/>
    <mergeCell ref="G5:H5"/>
    <mergeCell ref="I5:J5"/>
  </mergeCells>
  <pageMargins left="0.5" right="0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28E34-C1B1-450D-8BC5-498DAA32FC00}">
  <dimension ref="A1:AZ198"/>
  <sheetViews>
    <sheetView topLeftCell="A43" zoomScale="115" zoomScaleNormal="115" workbookViewId="0">
      <selection activeCell="J55" sqref="J55"/>
    </sheetView>
  </sheetViews>
  <sheetFormatPr defaultColWidth="9.15234375" defaultRowHeight="12.9"/>
  <cols>
    <col min="1" max="1" width="4.23046875" style="1" bestFit="1" customWidth="1"/>
    <col min="2" max="2" width="6.84375" style="1" bestFit="1" customWidth="1"/>
    <col min="3" max="3" width="10.23046875" style="6" bestFit="1" customWidth="1"/>
    <col min="4" max="4" width="19.23046875" style="1" bestFit="1" customWidth="1"/>
    <col min="5" max="5" width="8.4609375" style="7" bestFit="1" customWidth="1"/>
    <col min="6" max="7" width="8.84375" style="1" bestFit="1" customWidth="1"/>
    <col min="8" max="8" width="4.23046875" style="1" bestFit="1" customWidth="1"/>
    <col min="9" max="9" width="8.84375" style="1" bestFit="1" customWidth="1"/>
    <col min="10" max="10" width="10.61328125" style="1" bestFit="1" customWidth="1"/>
    <col min="11" max="16384" width="9.15234375" style="1"/>
  </cols>
  <sheetData>
    <row r="1" spans="1:52" ht="28.3" customHeight="1">
      <c r="A1" s="79" t="s">
        <v>17</v>
      </c>
      <c r="B1" s="80"/>
      <c r="C1" s="80"/>
      <c r="D1" s="80"/>
      <c r="E1" s="80"/>
    </row>
    <row r="2" spans="1:52" ht="28.3" customHeight="1">
      <c r="A2" s="80"/>
      <c r="B2" s="80"/>
      <c r="C2" s="80"/>
      <c r="D2" s="80"/>
      <c r="E2" s="80"/>
    </row>
    <row r="3" spans="1:52">
      <c r="A3" s="81" t="s">
        <v>11</v>
      </c>
      <c r="B3" s="81"/>
      <c r="C3" s="81"/>
      <c r="D3" s="81"/>
      <c r="E3" s="81"/>
      <c r="F3" s="81"/>
      <c r="G3" s="81"/>
      <c r="H3" s="81"/>
      <c r="I3" s="81"/>
      <c r="J3" s="81"/>
      <c r="AS3" s="2">
        <v>43921</v>
      </c>
      <c r="AZ3" s="1">
        <f>(AQ3-4)*20000</f>
        <v>-80000</v>
      </c>
    </row>
    <row r="4" spans="1:52" ht="13.3" thickBot="1">
      <c r="A4" s="81"/>
      <c r="B4" s="81"/>
      <c r="C4" s="81"/>
      <c r="D4" s="81"/>
      <c r="E4" s="81"/>
      <c r="F4" s="81"/>
      <c r="G4" s="81"/>
      <c r="H4" s="81"/>
      <c r="I4" s="81"/>
      <c r="J4" s="81"/>
    </row>
    <row r="5" spans="1:52" ht="32.25" customHeight="1">
      <c r="A5" s="82" t="s">
        <v>0</v>
      </c>
      <c r="B5" s="84" t="s">
        <v>9</v>
      </c>
      <c r="C5" s="86" t="s">
        <v>1</v>
      </c>
      <c r="D5" s="84" t="s">
        <v>10</v>
      </c>
      <c r="E5" s="88" t="s">
        <v>13</v>
      </c>
      <c r="F5" s="88"/>
      <c r="G5" s="88" t="s">
        <v>8</v>
      </c>
      <c r="H5" s="88"/>
      <c r="I5" s="88" t="s">
        <v>7</v>
      </c>
      <c r="J5" s="89"/>
    </row>
    <row r="6" spans="1:52" ht="32.25" customHeight="1">
      <c r="A6" s="83"/>
      <c r="B6" s="85"/>
      <c r="C6" s="87"/>
      <c r="D6" s="85"/>
      <c r="E6" s="38" t="s">
        <v>2</v>
      </c>
      <c r="F6" s="39" t="s">
        <v>6</v>
      </c>
      <c r="G6" s="39" t="s">
        <v>2</v>
      </c>
      <c r="H6" s="39" t="s">
        <v>6</v>
      </c>
      <c r="I6" s="39" t="s">
        <v>2</v>
      </c>
      <c r="J6" s="40" t="s">
        <v>6</v>
      </c>
    </row>
    <row r="7" spans="1:52" ht="15.9" customHeight="1">
      <c r="A7" s="41"/>
      <c r="B7" s="42"/>
      <c r="C7" s="42"/>
      <c r="D7" s="62" t="s">
        <v>12</v>
      </c>
      <c r="E7" s="43"/>
      <c r="F7" s="44"/>
      <c r="G7" s="43"/>
      <c r="H7" s="44"/>
      <c r="I7" s="43">
        <v>41519.47</v>
      </c>
      <c r="J7" s="45">
        <v>295396330</v>
      </c>
    </row>
    <row r="8" spans="1:52" ht="15.9" customHeight="1">
      <c r="A8" s="41"/>
      <c r="B8" s="42"/>
      <c r="C8" s="42"/>
      <c r="D8" s="62" t="s">
        <v>16</v>
      </c>
      <c r="E8" s="43">
        <v>48179</v>
      </c>
      <c r="F8" s="44">
        <f>4692000+12826</f>
        <v>4704826</v>
      </c>
      <c r="G8" s="43"/>
      <c r="H8" s="44"/>
      <c r="I8" s="43"/>
      <c r="J8" s="45"/>
    </row>
    <row r="9" spans="1:52" ht="15.9" customHeight="1">
      <c r="A9" s="41">
        <v>1</v>
      </c>
      <c r="B9" s="46">
        <v>46031</v>
      </c>
      <c r="C9" s="42" t="s">
        <v>652</v>
      </c>
      <c r="D9" s="62" t="s">
        <v>653</v>
      </c>
      <c r="E9" s="43"/>
      <c r="F9" s="44"/>
      <c r="G9" s="43">
        <v>1488.67</v>
      </c>
      <c r="H9" s="44"/>
      <c r="I9" s="43"/>
      <c r="J9" s="45"/>
    </row>
    <row r="10" spans="1:52" ht="15.9" customHeight="1">
      <c r="A10" s="41">
        <v>2</v>
      </c>
      <c r="B10" s="46">
        <v>46031</v>
      </c>
      <c r="C10" s="42" t="s">
        <v>654</v>
      </c>
      <c r="D10" s="62" t="s">
        <v>655</v>
      </c>
      <c r="E10" s="43"/>
      <c r="F10" s="44"/>
      <c r="G10" s="43">
        <v>600</v>
      </c>
      <c r="H10" s="44"/>
      <c r="I10" s="43"/>
      <c r="J10" s="45"/>
      <c r="AX10" s="5" t="s">
        <v>3</v>
      </c>
    </row>
    <row r="11" spans="1:52" ht="15.9" customHeight="1">
      <c r="A11" s="41">
        <v>3</v>
      </c>
      <c r="B11" s="46">
        <v>46031</v>
      </c>
      <c r="C11" s="42" t="s">
        <v>656</v>
      </c>
      <c r="D11" s="62" t="s">
        <v>657</v>
      </c>
      <c r="E11" s="43"/>
      <c r="F11" s="44"/>
      <c r="G11" s="43">
        <v>400</v>
      </c>
      <c r="H11" s="44"/>
      <c r="I11" s="43"/>
      <c r="J11" s="45"/>
    </row>
    <row r="12" spans="1:52" ht="12.75" customHeight="1">
      <c r="A12" s="41">
        <v>4</v>
      </c>
      <c r="B12" s="46">
        <v>46031</v>
      </c>
      <c r="C12" s="42" t="s">
        <v>658</v>
      </c>
      <c r="D12" s="62" t="s">
        <v>659</v>
      </c>
      <c r="E12" s="43"/>
      <c r="F12" s="44"/>
      <c r="G12" s="43">
        <v>500</v>
      </c>
      <c r="H12" s="44"/>
      <c r="I12" s="43"/>
      <c r="J12" s="45"/>
    </row>
    <row r="13" spans="1:52" ht="12.75" customHeight="1">
      <c r="A13" s="41">
        <v>5</v>
      </c>
      <c r="B13" s="46">
        <v>46031</v>
      </c>
      <c r="C13" s="42" t="s">
        <v>660</v>
      </c>
      <c r="D13" s="62" t="s">
        <v>661</v>
      </c>
      <c r="E13" s="43"/>
      <c r="F13" s="44"/>
      <c r="G13" s="43">
        <v>200</v>
      </c>
      <c r="H13" s="44"/>
      <c r="I13" s="43"/>
      <c r="J13" s="45"/>
    </row>
    <row r="14" spans="1:52" ht="12.75" customHeight="1">
      <c r="A14" s="41">
        <v>6</v>
      </c>
      <c r="B14" s="46">
        <v>46031</v>
      </c>
      <c r="C14" s="42" t="s">
        <v>662</v>
      </c>
      <c r="D14" s="62" t="s">
        <v>663</v>
      </c>
      <c r="E14" s="43"/>
      <c r="F14" s="44"/>
      <c r="G14" s="43">
        <v>200</v>
      </c>
      <c r="H14" s="44"/>
      <c r="I14" s="43"/>
      <c r="J14" s="45"/>
    </row>
    <row r="15" spans="1:52" ht="12.75" customHeight="1">
      <c r="A15" s="41">
        <v>7</v>
      </c>
      <c r="B15" s="46">
        <v>46031</v>
      </c>
      <c r="C15" s="42" t="s">
        <v>664</v>
      </c>
      <c r="D15" s="62" t="s">
        <v>665</v>
      </c>
      <c r="E15" s="43"/>
      <c r="F15" s="44"/>
      <c r="G15" s="43">
        <v>2500</v>
      </c>
      <c r="H15" s="44"/>
      <c r="I15" s="43"/>
      <c r="J15" s="45"/>
    </row>
    <row r="16" spans="1:52">
      <c r="A16" s="41">
        <v>8</v>
      </c>
      <c r="B16" s="46">
        <v>46031</v>
      </c>
      <c r="C16" s="42" t="s">
        <v>666</v>
      </c>
      <c r="D16" s="62" t="s">
        <v>667</v>
      </c>
      <c r="E16" s="43"/>
      <c r="F16" s="44"/>
      <c r="G16" s="43">
        <v>50</v>
      </c>
      <c r="H16" s="44"/>
      <c r="I16" s="43"/>
      <c r="J16" s="45"/>
    </row>
    <row r="17" spans="1:10">
      <c r="A17" s="41">
        <v>9</v>
      </c>
      <c r="B17" s="46">
        <v>46031</v>
      </c>
      <c r="C17" s="42" t="s">
        <v>668</v>
      </c>
      <c r="D17" s="62" t="s">
        <v>613</v>
      </c>
      <c r="E17" s="43"/>
      <c r="F17" s="44"/>
      <c r="G17" s="43">
        <v>3600</v>
      </c>
      <c r="H17" s="44"/>
      <c r="I17" s="43"/>
      <c r="J17" s="45"/>
    </row>
    <row r="18" spans="1:10">
      <c r="A18" s="41">
        <v>10</v>
      </c>
      <c r="B18" s="46">
        <v>46031</v>
      </c>
      <c r="C18" s="42" t="s">
        <v>669</v>
      </c>
      <c r="D18" s="62" t="s">
        <v>670</v>
      </c>
      <c r="E18" s="43"/>
      <c r="F18" s="44"/>
      <c r="G18" s="43">
        <v>200</v>
      </c>
      <c r="H18" s="44"/>
      <c r="I18" s="43"/>
      <c r="J18" s="45"/>
    </row>
    <row r="19" spans="1:10">
      <c r="A19" s="41">
        <v>11</v>
      </c>
      <c r="B19" s="46">
        <v>46031</v>
      </c>
      <c r="C19" s="42" t="s">
        <v>671</v>
      </c>
      <c r="D19" s="62" t="s">
        <v>613</v>
      </c>
      <c r="E19" s="43"/>
      <c r="F19" s="44"/>
      <c r="G19" s="43">
        <v>3200</v>
      </c>
      <c r="H19" s="44"/>
      <c r="I19" s="43"/>
      <c r="J19" s="45"/>
    </row>
    <row r="20" spans="1:10">
      <c r="A20" s="41">
        <v>12</v>
      </c>
      <c r="B20" s="46">
        <v>46031</v>
      </c>
      <c r="C20" s="42" t="s">
        <v>672</v>
      </c>
      <c r="D20" s="62" t="s">
        <v>673</v>
      </c>
      <c r="E20" s="43"/>
      <c r="F20" s="44"/>
      <c r="G20" s="43">
        <v>188.88</v>
      </c>
      <c r="H20" s="44"/>
      <c r="I20" s="43"/>
      <c r="J20" s="45"/>
    </row>
    <row r="21" spans="1:10">
      <c r="A21" s="41">
        <v>13</v>
      </c>
      <c r="B21" s="46">
        <v>46031</v>
      </c>
      <c r="C21" s="42" t="s">
        <v>674</v>
      </c>
      <c r="D21" s="62" t="s">
        <v>675</v>
      </c>
      <c r="E21" s="43"/>
      <c r="F21" s="44"/>
      <c r="G21" s="43">
        <v>97.19</v>
      </c>
      <c r="H21" s="44"/>
      <c r="I21" s="43"/>
      <c r="J21" s="45"/>
    </row>
    <row r="22" spans="1:10">
      <c r="A22" s="41">
        <v>14</v>
      </c>
      <c r="B22" s="46">
        <v>46031</v>
      </c>
      <c r="C22" s="42" t="s">
        <v>676</v>
      </c>
      <c r="D22" s="62" t="s">
        <v>677</v>
      </c>
      <c r="E22" s="43"/>
      <c r="F22" s="44"/>
      <c r="G22" s="43">
        <v>200</v>
      </c>
      <c r="H22" s="44"/>
      <c r="I22" s="43"/>
      <c r="J22" s="45"/>
    </row>
    <row r="23" spans="1:10">
      <c r="A23" s="41">
        <v>15</v>
      </c>
      <c r="B23" s="46">
        <v>46031</v>
      </c>
      <c r="C23" s="42" t="s">
        <v>678</v>
      </c>
      <c r="D23" s="62" t="s">
        <v>523</v>
      </c>
      <c r="E23" s="43"/>
      <c r="F23" s="44"/>
      <c r="G23" s="43">
        <v>194.2</v>
      </c>
      <c r="H23" s="44"/>
      <c r="I23" s="43"/>
      <c r="J23" s="45"/>
    </row>
    <row r="24" spans="1:10">
      <c r="A24" s="41">
        <v>16</v>
      </c>
      <c r="B24" s="46">
        <v>46031</v>
      </c>
      <c r="C24" s="42" t="s">
        <v>679</v>
      </c>
      <c r="D24" s="62" t="s">
        <v>680</v>
      </c>
      <c r="E24" s="43"/>
      <c r="F24" s="44"/>
      <c r="G24" s="43">
        <v>3000</v>
      </c>
      <c r="H24" s="44"/>
      <c r="I24" s="43"/>
      <c r="J24" s="45"/>
    </row>
    <row r="25" spans="1:10">
      <c r="A25" s="41">
        <v>17</v>
      </c>
      <c r="B25" s="46">
        <v>46031</v>
      </c>
      <c r="C25" s="42" t="s">
        <v>681</v>
      </c>
      <c r="D25" s="62" t="s">
        <v>682</v>
      </c>
      <c r="E25" s="43"/>
      <c r="F25" s="44"/>
      <c r="G25" s="43">
        <v>3600</v>
      </c>
      <c r="H25" s="44"/>
      <c r="I25" s="43"/>
      <c r="J25" s="45"/>
    </row>
    <row r="26" spans="1:10">
      <c r="A26" s="41">
        <v>18</v>
      </c>
      <c r="B26" s="46">
        <v>46031</v>
      </c>
      <c r="C26" s="42" t="s">
        <v>683</v>
      </c>
      <c r="D26" s="62" t="s">
        <v>684</v>
      </c>
      <c r="E26" s="43"/>
      <c r="F26" s="44"/>
      <c r="G26" s="43">
        <v>500</v>
      </c>
      <c r="H26" s="44"/>
      <c r="I26" s="43"/>
      <c r="J26" s="45"/>
    </row>
    <row r="27" spans="1:10">
      <c r="A27" s="41">
        <v>19</v>
      </c>
      <c r="B27" s="46">
        <v>46031</v>
      </c>
      <c r="C27" s="42" t="s">
        <v>685</v>
      </c>
      <c r="D27" s="62" t="s">
        <v>682</v>
      </c>
      <c r="E27" s="43"/>
      <c r="F27" s="44"/>
      <c r="G27" s="43">
        <v>3100</v>
      </c>
      <c r="H27" s="44"/>
      <c r="I27" s="43"/>
      <c r="J27" s="45"/>
    </row>
    <row r="28" spans="1:10">
      <c r="A28" s="41">
        <v>20</v>
      </c>
      <c r="B28" s="46">
        <v>46031</v>
      </c>
      <c r="C28" s="42" t="s">
        <v>686</v>
      </c>
      <c r="D28" s="62" t="s">
        <v>687</v>
      </c>
      <c r="E28" s="43"/>
      <c r="F28" s="44"/>
      <c r="G28" s="43">
        <v>1087.78</v>
      </c>
      <c r="H28" s="44"/>
      <c r="I28" s="43"/>
      <c r="J28" s="45"/>
    </row>
    <row r="29" spans="1:10">
      <c r="A29" s="41">
        <v>21</v>
      </c>
      <c r="B29" s="46">
        <v>46031</v>
      </c>
      <c r="C29" s="42" t="s">
        <v>688</v>
      </c>
      <c r="D29" s="62" t="s">
        <v>689</v>
      </c>
      <c r="E29" s="43"/>
      <c r="F29" s="44"/>
      <c r="G29" s="43">
        <v>38.450000000000003</v>
      </c>
      <c r="H29" s="44"/>
      <c r="I29" s="43"/>
      <c r="J29" s="45"/>
    </row>
    <row r="30" spans="1:10">
      <c r="A30" s="41">
        <v>22</v>
      </c>
      <c r="B30" s="46">
        <v>46031</v>
      </c>
      <c r="C30" s="42" t="s">
        <v>690</v>
      </c>
      <c r="D30" s="62" t="s">
        <v>57</v>
      </c>
      <c r="E30" s="43"/>
      <c r="F30" s="44"/>
      <c r="G30" s="43">
        <v>250</v>
      </c>
      <c r="H30" s="44"/>
      <c r="I30" s="43"/>
      <c r="J30" s="45"/>
    </row>
    <row r="31" spans="1:10">
      <c r="A31" s="41">
        <v>23</v>
      </c>
      <c r="B31" s="46">
        <v>46031</v>
      </c>
      <c r="C31" s="42" t="s">
        <v>691</v>
      </c>
      <c r="D31" s="62" t="s">
        <v>57</v>
      </c>
      <c r="E31" s="43"/>
      <c r="F31" s="44"/>
      <c r="G31" s="43">
        <v>300</v>
      </c>
      <c r="H31" s="44"/>
      <c r="I31" s="43"/>
      <c r="J31" s="45"/>
    </row>
    <row r="32" spans="1:10">
      <c r="A32" s="41">
        <v>24</v>
      </c>
      <c r="B32" s="46">
        <v>46031</v>
      </c>
      <c r="C32" s="42" t="s">
        <v>692</v>
      </c>
      <c r="D32" s="62" t="s">
        <v>553</v>
      </c>
      <c r="E32" s="43"/>
      <c r="F32" s="44"/>
      <c r="G32" s="43">
        <v>701.7</v>
      </c>
      <c r="H32" s="44"/>
      <c r="I32" s="43"/>
      <c r="J32" s="45"/>
    </row>
    <row r="33" spans="1:10">
      <c r="A33" s="41">
        <v>25</v>
      </c>
      <c r="B33" s="46">
        <v>46031</v>
      </c>
      <c r="C33" s="42" t="s">
        <v>693</v>
      </c>
      <c r="D33" s="62" t="s">
        <v>694</v>
      </c>
      <c r="E33" s="43"/>
      <c r="F33" s="44"/>
      <c r="G33" s="43">
        <v>216.06</v>
      </c>
      <c r="H33" s="44"/>
      <c r="I33" s="43"/>
      <c r="J33" s="45"/>
    </row>
    <row r="34" spans="1:10">
      <c r="A34" s="41">
        <v>26</v>
      </c>
      <c r="B34" s="46">
        <v>46031</v>
      </c>
      <c r="C34" s="42" t="s">
        <v>695</v>
      </c>
      <c r="D34" s="62" t="s">
        <v>696</v>
      </c>
      <c r="E34" s="43"/>
      <c r="F34" s="44"/>
      <c r="G34" s="43">
        <v>390</v>
      </c>
      <c r="H34" s="44"/>
      <c r="I34" s="43"/>
      <c r="J34" s="45"/>
    </row>
    <row r="35" spans="1:10">
      <c r="A35" s="41">
        <v>27</v>
      </c>
      <c r="B35" s="46">
        <v>46031</v>
      </c>
      <c r="C35" s="42" t="s">
        <v>697</v>
      </c>
      <c r="D35" s="62" t="s">
        <v>698</v>
      </c>
      <c r="E35" s="43"/>
      <c r="F35" s="44"/>
      <c r="G35" s="43">
        <v>378.81</v>
      </c>
      <c r="H35" s="44"/>
      <c r="I35" s="43"/>
      <c r="J35" s="45"/>
    </row>
    <row r="36" spans="1:10">
      <c r="A36" s="41">
        <v>28</v>
      </c>
      <c r="B36" s="46">
        <v>46031</v>
      </c>
      <c r="C36" s="42" t="s">
        <v>699</v>
      </c>
      <c r="D36" s="62" t="s">
        <v>700</v>
      </c>
      <c r="E36" s="43"/>
      <c r="F36" s="44"/>
      <c r="G36" s="43">
        <v>813.17</v>
      </c>
      <c r="H36" s="44"/>
      <c r="I36" s="43"/>
      <c r="J36" s="45"/>
    </row>
    <row r="37" spans="1:10">
      <c r="A37" s="41">
        <v>29</v>
      </c>
      <c r="B37" s="46">
        <v>46031</v>
      </c>
      <c r="C37" s="42" t="s">
        <v>701</v>
      </c>
      <c r="D37" s="62" t="s">
        <v>702</v>
      </c>
      <c r="E37" s="43"/>
      <c r="F37" s="44"/>
      <c r="G37" s="43">
        <v>201.76</v>
      </c>
      <c r="H37" s="44"/>
      <c r="I37" s="43"/>
      <c r="J37" s="45"/>
    </row>
    <row r="38" spans="1:10">
      <c r="A38" s="41">
        <v>30</v>
      </c>
      <c r="B38" s="46">
        <v>46031</v>
      </c>
      <c r="C38" s="42" t="s">
        <v>703</v>
      </c>
      <c r="D38" s="62" t="s">
        <v>704</v>
      </c>
      <c r="E38" s="43"/>
      <c r="F38" s="44"/>
      <c r="G38" s="43">
        <v>122.38</v>
      </c>
      <c r="H38" s="44"/>
      <c r="I38" s="43"/>
      <c r="J38" s="45"/>
    </row>
    <row r="39" spans="1:10">
      <c r="A39" s="41">
        <v>31</v>
      </c>
      <c r="B39" s="46">
        <v>46031</v>
      </c>
      <c r="C39" s="42" t="s">
        <v>705</v>
      </c>
      <c r="D39" s="62" t="s">
        <v>706</v>
      </c>
      <c r="E39" s="43"/>
      <c r="F39" s="44"/>
      <c r="G39" s="43">
        <v>450</v>
      </c>
      <c r="H39" s="44"/>
      <c r="I39" s="43"/>
      <c r="J39" s="45"/>
    </row>
    <row r="40" spans="1:10">
      <c r="A40" s="41">
        <v>32</v>
      </c>
      <c r="B40" s="46">
        <v>46031</v>
      </c>
      <c r="C40" s="42" t="s">
        <v>707</v>
      </c>
      <c r="D40" s="62" t="s">
        <v>708</v>
      </c>
      <c r="E40" s="43"/>
      <c r="F40" s="44"/>
      <c r="G40" s="43">
        <v>61.85</v>
      </c>
      <c r="H40" s="44"/>
      <c r="I40" s="43"/>
      <c r="J40" s="45"/>
    </row>
    <row r="41" spans="1:10" s="9" customFormat="1" ht="12.45">
      <c r="A41" s="41">
        <v>33</v>
      </c>
      <c r="B41" s="46">
        <v>46031</v>
      </c>
      <c r="C41" s="42" t="s">
        <v>709</v>
      </c>
      <c r="D41" s="62" t="s">
        <v>710</v>
      </c>
      <c r="E41" s="43"/>
      <c r="F41" s="44"/>
      <c r="G41" s="43">
        <v>1000</v>
      </c>
      <c r="H41" s="44"/>
      <c r="I41" s="43"/>
      <c r="J41" s="45"/>
    </row>
    <row r="42" spans="1:10" s="9" customFormat="1" ht="12.45">
      <c r="A42" s="41">
        <v>34</v>
      </c>
      <c r="B42" s="46">
        <v>46031</v>
      </c>
      <c r="C42" s="42" t="s">
        <v>711</v>
      </c>
      <c r="D42" s="62" t="s">
        <v>221</v>
      </c>
      <c r="E42" s="43"/>
      <c r="F42" s="44"/>
      <c r="G42" s="43">
        <v>4947</v>
      </c>
      <c r="H42" s="44"/>
      <c r="I42" s="43"/>
      <c r="J42" s="45"/>
    </row>
    <row r="43" spans="1:10" s="9" customFormat="1" ht="12.45">
      <c r="A43" s="41">
        <v>35</v>
      </c>
      <c r="B43" s="46">
        <v>46031</v>
      </c>
      <c r="C43" s="42" t="s">
        <v>712</v>
      </c>
      <c r="D43" s="62" t="s">
        <v>713</v>
      </c>
      <c r="E43" s="43"/>
      <c r="F43" s="44"/>
      <c r="G43" s="43">
        <v>306.60000000000002</v>
      </c>
      <c r="H43" s="44"/>
      <c r="I43" s="43"/>
      <c r="J43" s="45"/>
    </row>
    <row r="44" spans="1:10">
      <c r="A44" s="41">
        <v>36</v>
      </c>
      <c r="B44" s="46">
        <v>46031</v>
      </c>
      <c r="C44" s="42" t="s">
        <v>714</v>
      </c>
      <c r="D44" s="62" t="s">
        <v>715</v>
      </c>
      <c r="E44" s="43"/>
      <c r="F44" s="44"/>
      <c r="G44" s="43">
        <v>500</v>
      </c>
      <c r="H44" s="44"/>
      <c r="I44" s="43"/>
      <c r="J44" s="45"/>
    </row>
    <row r="45" spans="1:10">
      <c r="A45" s="41">
        <v>37</v>
      </c>
      <c r="B45" s="46">
        <v>46031</v>
      </c>
      <c r="C45" s="42" t="s">
        <v>716</v>
      </c>
      <c r="D45" s="62" t="s">
        <v>287</v>
      </c>
      <c r="E45" s="43"/>
      <c r="F45" s="44"/>
      <c r="G45" s="43">
        <v>154.34</v>
      </c>
      <c r="H45" s="44"/>
      <c r="I45" s="43"/>
      <c r="J45" s="45"/>
    </row>
    <row r="46" spans="1:10">
      <c r="A46" s="41">
        <v>38</v>
      </c>
      <c r="B46" s="46">
        <v>46031</v>
      </c>
      <c r="C46" s="42" t="s">
        <v>717</v>
      </c>
      <c r="D46" s="62" t="s">
        <v>718</v>
      </c>
      <c r="E46" s="43"/>
      <c r="F46" s="44"/>
      <c r="G46" s="43">
        <v>3000</v>
      </c>
      <c r="H46" s="44"/>
      <c r="I46" s="43"/>
      <c r="J46" s="45"/>
    </row>
    <row r="47" spans="1:10">
      <c r="A47" s="41">
        <v>39</v>
      </c>
      <c r="B47" s="46">
        <v>46031</v>
      </c>
      <c r="C47" s="42" t="s">
        <v>719</v>
      </c>
      <c r="D47" s="62" t="s">
        <v>378</v>
      </c>
      <c r="E47" s="43"/>
      <c r="F47" s="44"/>
      <c r="G47" s="43">
        <v>200</v>
      </c>
      <c r="H47" s="44"/>
      <c r="I47" s="43"/>
      <c r="J47" s="45"/>
    </row>
    <row r="48" spans="1:10">
      <c r="A48" s="41">
        <v>40</v>
      </c>
      <c r="B48" s="46">
        <v>46031</v>
      </c>
      <c r="C48" s="42" t="s">
        <v>720</v>
      </c>
      <c r="D48" s="62" t="s">
        <v>90</v>
      </c>
      <c r="E48" s="43"/>
      <c r="F48" s="44"/>
      <c r="G48" s="43">
        <v>100</v>
      </c>
      <c r="H48" s="44"/>
      <c r="I48" s="43"/>
      <c r="J48" s="45"/>
    </row>
    <row r="49" spans="1:10">
      <c r="A49" s="41">
        <v>41</v>
      </c>
      <c r="B49" s="46">
        <v>46031</v>
      </c>
      <c r="C49" s="42" t="s">
        <v>721</v>
      </c>
      <c r="D49" s="62" t="s">
        <v>465</v>
      </c>
      <c r="E49" s="43"/>
      <c r="F49" s="44"/>
      <c r="G49" s="43">
        <v>304.83999999999997</v>
      </c>
      <c r="H49" s="44"/>
      <c r="I49" s="43"/>
      <c r="J49" s="45"/>
    </row>
    <row r="50" spans="1:10" s="9" customFormat="1" ht="12.45">
      <c r="A50" s="41">
        <v>42</v>
      </c>
      <c r="B50" s="46">
        <v>46031</v>
      </c>
      <c r="C50" s="42" t="s">
        <v>722</v>
      </c>
      <c r="D50" s="62" t="s">
        <v>723</v>
      </c>
      <c r="E50" s="43"/>
      <c r="F50" s="44"/>
      <c r="G50" s="43">
        <v>500</v>
      </c>
      <c r="H50" s="44"/>
      <c r="I50" s="43"/>
      <c r="J50" s="45"/>
    </row>
    <row r="51" spans="1:10">
      <c r="A51" s="41">
        <v>43</v>
      </c>
      <c r="B51" s="46">
        <v>46031</v>
      </c>
      <c r="C51" s="42" t="s">
        <v>724</v>
      </c>
      <c r="D51" s="62" t="s">
        <v>725</v>
      </c>
      <c r="E51" s="43"/>
      <c r="F51" s="44"/>
      <c r="G51" s="43">
        <v>600</v>
      </c>
      <c r="H51" s="44"/>
      <c r="I51" s="43"/>
      <c r="J51" s="45"/>
    </row>
    <row r="52" spans="1:10">
      <c r="A52" s="41">
        <v>44</v>
      </c>
      <c r="B52" s="46">
        <v>46031</v>
      </c>
      <c r="C52" s="42" t="s">
        <v>726</v>
      </c>
      <c r="D52" s="62" t="s">
        <v>727</v>
      </c>
      <c r="E52" s="43"/>
      <c r="F52" s="44"/>
      <c r="G52" s="43">
        <v>1195.29</v>
      </c>
      <c r="H52" s="44"/>
      <c r="I52" s="43"/>
      <c r="J52" s="45"/>
    </row>
    <row r="53" spans="1:10" ht="21.45">
      <c r="A53" s="41">
        <v>45</v>
      </c>
      <c r="B53" s="55">
        <v>46031</v>
      </c>
      <c r="C53" s="56" t="s">
        <v>728</v>
      </c>
      <c r="D53" s="63" t="s">
        <v>2049</v>
      </c>
      <c r="E53" s="43"/>
      <c r="F53" s="44"/>
      <c r="G53" s="43">
        <v>60</v>
      </c>
      <c r="H53" s="44"/>
      <c r="I53" s="43"/>
      <c r="J53" s="45"/>
    </row>
    <row r="54" spans="1:10" s="9" customFormat="1" thickBot="1">
      <c r="A54" s="47"/>
      <c r="B54" s="48"/>
      <c r="C54" s="48"/>
      <c r="D54" s="48" t="s">
        <v>4</v>
      </c>
      <c r="E54" s="50"/>
      <c r="F54" s="49">
        <f>F8</f>
        <v>4704826</v>
      </c>
      <c r="G54" s="50">
        <v>41698.97</v>
      </c>
      <c r="H54" s="49">
        <v>0</v>
      </c>
      <c r="I54" s="50">
        <v>47999.5</v>
      </c>
      <c r="J54" s="51">
        <f>F54-H54+J7</f>
        <v>300101156</v>
      </c>
    </row>
    <row r="56" spans="1:10">
      <c r="H56" s="10" t="s">
        <v>14</v>
      </c>
    </row>
    <row r="57" spans="1:10">
      <c r="H57" s="11" t="s">
        <v>15</v>
      </c>
    </row>
    <row r="198" spans="52:52">
      <c r="AZ198" s="1" t="s">
        <v>5</v>
      </c>
    </row>
  </sheetData>
  <mergeCells count="9">
    <mergeCell ref="A1:E2"/>
    <mergeCell ref="A3:J4"/>
    <mergeCell ref="A5:A6"/>
    <mergeCell ref="B5:B6"/>
    <mergeCell ref="C5:C6"/>
    <mergeCell ref="D5:D6"/>
    <mergeCell ref="E5:F5"/>
    <mergeCell ref="G5:H5"/>
    <mergeCell ref="I5:J5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8BE1E-F1C7-472D-A653-549015329CC1}">
  <dimension ref="A1:AZ175"/>
  <sheetViews>
    <sheetView zoomScale="70" zoomScaleNormal="70" workbookViewId="0">
      <selection activeCell="J7" sqref="J7"/>
    </sheetView>
  </sheetViews>
  <sheetFormatPr defaultColWidth="9.15234375" defaultRowHeight="12.9"/>
  <cols>
    <col min="1" max="1" width="4.23046875" style="1" bestFit="1" customWidth="1"/>
    <col min="2" max="2" width="6.84375" style="1" bestFit="1" customWidth="1"/>
    <col min="3" max="3" width="10.23046875" style="6" bestFit="1" customWidth="1"/>
    <col min="4" max="4" width="27.69140625" style="1" bestFit="1" customWidth="1"/>
    <col min="5" max="5" width="4" style="7" bestFit="1" customWidth="1"/>
    <col min="6" max="6" width="4.23046875" style="1" bestFit="1" customWidth="1"/>
    <col min="7" max="7" width="8" style="1" bestFit="1" customWidth="1"/>
    <col min="8" max="9" width="8.84375" style="1" bestFit="1" customWidth="1"/>
    <col min="10" max="10" width="10.61328125" style="1" bestFit="1" customWidth="1"/>
    <col min="11" max="16384" width="9.15234375" style="1"/>
  </cols>
  <sheetData>
    <row r="1" spans="1:52" ht="28.3" customHeight="1">
      <c r="A1" s="79" t="s">
        <v>17</v>
      </c>
      <c r="B1" s="80"/>
      <c r="C1" s="80"/>
      <c r="D1" s="80"/>
      <c r="E1" s="80"/>
    </row>
    <row r="2" spans="1:52" ht="28.3" customHeight="1">
      <c r="A2" s="80"/>
      <c r="B2" s="80"/>
      <c r="C2" s="80"/>
      <c r="D2" s="80"/>
      <c r="E2" s="80"/>
    </row>
    <row r="3" spans="1:52">
      <c r="A3" s="81" t="s">
        <v>11</v>
      </c>
      <c r="B3" s="81"/>
      <c r="C3" s="81"/>
      <c r="D3" s="81"/>
      <c r="E3" s="81"/>
      <c r="F3" s="81"/>
      <c r="G3" s="81"/>
      <c r="H3" s="81"/>
      <c r="I3" s="81"/>
      <c r="J3" s="81"/>
      <c r="AS3" s="2">
        <v>43921</v>
      </c>
      <c r="AZ3" s="1">
        <f>(AQ3-4)*20000</f>
        <v>-80000</v>
      </c>
    </row>
    <row r="4" spans="1:52" ht="13.3" thickBot="1">
      <c r="A4" s="81"/>
      <c r="B4" s="81"/>
      <c r="C4" s="81"/>
      <c r="D4" s="81"/>
      <c r="E4" s="81"/>
      <c r="F4" s="81"/>
      <c r="G4" s="81"/>
      <c r="H4" s="81"/>
      <c r="I4" s="81"/>
      <c r="J4" s="81"/>
    </row>
    <row r="5" spans="1:52">
      <c r="A5" s="82" t="s">
        <v>0</v>
      </c>
      <c r="B5" s="84" t="s">
        <v>9</v>
      </c>
      <c r="C5" s="86" t="s">
        <v>1</v>
      </c>
      <c r="D5" s="84" t="s">
        <v>10</v>
      </c>
      <c r="E5" s="88" t="s">
        <v>13</v>
      </c>
      <c r="F5" s="88"/>
      <c r="G5" s="88" t="s">
        <v>8</v>
      </c>
      <c r="H5" s="88"/>
      <c r="I5" s="88" t="s">
        <v>7</v>
      </c>
      <c r="J5" s="89"/>
    </row>
    <row r="6" spans="1:52">
      <c r="A6" s="83"/>
      <c r="B6" s="85"/>
      <c r="C6" s="87"/>
      <c r="D6" s="85"/>
      <c r="E6" s="38" t="s">
        <v>2</v>
      </c>
      <c r="F6" s="39" t="s">
        <v>6</v>
      </c>
      <c r="G6" s="39" t="s">
        <v>2</v>
      </c>
      <c r="H6" s="39" t="s">
        <v>6</v>
      </c>
      <c r="I6" s="39" t="s">
        <v>2</v>
      </c>
      <c r="J6" s="40" t="s">
        <v>6</v>
      </c>
    </row>
    <row r="7" spans="1:52">
      <c r="A7" s="41"/>
      <c r="B7" s="42"/>
      <c r="C7" s="42"/>
      <c r="D7" s="42" t="s">
        <v>12</v>
      </c>
      <c r="E7" s="43"/>
      <c r="F7" s="44"/>
      <c r="G7" s="43"/>
      <c r="H7" s="44"/>
      <c r="I7" s="43">
        <v>47999.5</v>
      </c>
      <c r="J7" s="45">
        <v>300101156</v>
      </c>
    </row>
    <row r="8" spans="1:52">
      <c r="A8" s="41"/>
      <c r="B8" s="42"/>
      <c r="C8" s="42"/>
      <c r="D8" s="42" t="s">
        <v>16</v>
      </c>
      <c r="E8" s="43">
        <v>0</v>
      </c>
      <c r="F8" s="44">
        <v>0</v>
      </c>
      <c r="G8" s="43"/>
      <c r="H8" s="44"/>
      <c r="I8" s="43"/>
      <c r="J8" s="45"/>
    </row>
    <row r="9" spans="1:52">
      <c r="A9" s="41">
        <v>1</v>
      </c>
      <c r="B9" s="46">
        <v>46032</v>
      </c>
      <c r="C9" s="42" t="s">
        <v>729</v>
      </c>
      <c r="D9" s="42" t="s">
        <v>648</v>
      </c>
      <c r="E9" s="43"/>
      <c r="F9" s="44"/>
      <c r="G9" s="43">
        <v>300</v>
      </c>
      <c r="H9" s="44"/>
      <c r="I9" s="43"/>
      <c r="J9" s="45"/>
    </row>
    <row r="10" spans="1:52">
      <c r="A10" s="41">
        <v>2</v>
      </c>
      <c r="B10" s="46">
        <v>46032</v>
      </c>
      <c r="C10" s="42" t="s">
        <v>730</v>
      </c>
      <c r="D10" s="42" t="s">
        <v>731</v>
      </c>
      <c r="E10" s="43"/>
      <c r="F10" s="44"/>
      <c r="G10" s="43">
        <v>592.42999999999995</v>
      </c>
      <c r="H10" s="44"/>
      <c r="I10" s="43"/>
      <c r="J10" s="45"/>
      <c r="AX10" s="5" t="s">
        <v>3</v>
      </c>
    </row>
    <row r="11" spans="1:52">
      <c r="A11" s="41">
        <v>3</v>
      </c>
      <c r="B11" s="46">
        <v>46032</v>
      </c>
      <c r="C11" s="42" t="s">
        <v>732</v>
      </c>
      <c r="D11" s="42" t="s">
        <v>733</v>
      </c>
      <c r="E11" s="43"/>
      <c r="F11" s="44"/>
      <c r="G11" s="43">
        <v>1000</v>
      </c>
      <c r="H11" s="44"/>
      <c r="I11" s="43"/>
      <c r="J11" s="45"/>
    </row>
    <row r="12" spans="1:52">
      <c r="A12" s="41">
        <v>4</v>
      </c>
      <c r="B12" s="46">
        <v>46032</v>
      </c>
      <c r="C12" s="42" t="s">
        <v>734</v>
      </c>
      <c r="D12" s="42" t="s">
        <v>281</v>
      </c>
      <c r="E12" s="43"/>
      <c r="F12" s="44"/>
      <c r="G12" s="43">
        <v>114.25</v>
      </c>
      <c r="H12" s="44"/>
      <c r="I12" s="43"/>
      <c r="J12" s="45"/>
    </row>
    <row r="13" spans="1:52">
      <c r="A13" s="41">
        <v>5</v>
      </c>
      <c r="B13" s="46">
        <v>46032</v>
      </c>
      <c r="C13" s="42" t="s">
        <v>735</v>
      </c>
      <c r="D13" s="42" t="s">
        <v>736</v>
      </c>
      <c r="E13" s="43"/>
      <c r="F13" s="44"/>
      <c r="G13" s="43">
        <v>200</v>
      </c>
      <c r="H13" s="44"/>
      <c r="I13" s="43"/>
      <c r="J13" s="45"/>
    </row>
    <row r="14" spans="1:52">
      <c r="A14" s="41">
        <v>6</v>
      </c>
      <c r="B14" s="46">
        <v>46032</v>
      </c>
      <c r="C14" s="42" t="s">
        <v>737</v>
      </c>
      <c r="D14" s="42" t="s">
        <v>689</v>
      </c>
      <c r="E14" s="43"/>
      <c r="F14" s="44"/>
      <c r="G14" s="43">
        <v>24.95</v>
      </c>
      <c r="H14" s="44"/>
      <c r="I14" s="43"/>
      <c r="J14" s="45"/>
    </row>
    <row r="15" spans="1:52">
      <c r="A15" s="41">
        <v>7</v>
      </c>
      <c r="B15" s="46">
        <v>46032</v>
      </c>
      <c r="C15" s="42" t="s">
        <v>738</v>
      </c>
      <c r="D15" s="42" t="s">
        <v>739</v>
      </c>
      <c r="E15" s="43"/>
      <c r="F15" s="44"/>
      <c r="G15" s="43">
        <v>425.54</v>
      </c>
      <c r="H15" s="44"/>
      <c r="I15" s="43"/>
      <c r="J15" s="45"/>
    </row>
    <row r="16" spans="1:52">
      <c r="A16" s="41">
        <v>8</v>
      </c>
      <c r="B16" s="46">
        <v>46032</v>
      </c>
      <c r="C16" s="42" t="s">
        <v>740</v>
      </c>
      <c r="D16" s="42" t="s">
        <v>741</v>
      </c>
      <c r="E16" s="43"/>
      <c r="F16" s="44"/>
      <c r="G16" s="43">
        <v>1000</v>
      </c>
      <c r="H16" s="44"/>
      <c r="I16" s="43"/>
      <c r="J16" s="45"/>
    </row>
    <row r="17" spans="1:10">
      <c r="A17" s="41">
        <v>9</v>
      </c>
      <c r="B17" s="46">
        <v>46032</v>
      </c>
      <c r="C17" s="42" t="s">
        <v>742</v>
      </c>
      <c r="D17" s="42" t="s">
        <v>743</v>
      </c>
      <c r="E17" s="43"/>
      <c r="F17" s="44"/>
      <c r="G17" s="43">
        <v>200</v>
      </c>
      <c r="H17" s="44"/>
      <c r="I17" s="43"/>
      <c r="J17" s="45"/>
    </row>
    <row r="18" spans="1:10">
      <c r="A18" s="41">
        <v>10</v>
      </c>
      <c r="B18" s="46">
        <v>46032</v>
      </c>
      <c r="C18" s="42" t="s">
        <v>744</v>
      </c>
      <c r="D18" s="42" t="s">
        <v>745</v>
      </c>
      <c r="E18" s="43"/>
      <c r="F18" s="44"/>
      <c r="G18" s="43">
        <v>153.68</v>
      </c>
      <c r="H18" s="44"/>
      <c r="I18" s="43"/>
      <c r="J18" s="45"/>
    </row>
    <row r="19" spans="1:10">
      <c r="A19" s="41">
        <v>11</v>
      </c>
      <c r="B19" s="46">
        <v>46032</v>
      </c>
      <c r="C19" s="42" t="s">
        <v>746</v>
      </c>
      <c r="D19" s="42" t="s">
        <v>747</v>
      </c>
      <c r="E19" s="43"/>
      <c r="F19" s="44"/>
      <c r="G19" s="43">
        <v>750</v>
      </c>
      <c r="H19" s="44"/>
      <c r="I19" s="43"/>
      <c r="J19" s="45"/>
    </row>
    <row r="20" spans="1:10">
      <c r="A20" s="41">
        <v>12</v>
      </c>
      <c r="B20" s="46">
        <v>46032</v>
      </c>
      <c r="C20" s="42" t="s">
        <v>748</v>
      </c>
      <c r="D20" s="42" t="s">
        <v>345</v>
      </c>
      <c r="E20" s="43"/>
      <c r="F20" s="44"/>
      <c r="G20" s="43">
        <v>139.58000000000001</v>
      </c>
      <c r="H20" s="44"/>
      <c r="I20" s="43"/>
      <c r="J20" s="45"/>
    </row>
    <row r="21" spans="1:10">
      <c r="A21" s="41">
        <v>13</v>
      </c>
      <c r="B21" s="46">
        <v>46032</v>
      </c>
      <c r="C21" s="42" t="s">
        <v>749</v>
      </c>
      <c r="D21" s="42" t="s">
        <v>750</v>
      </c>
      <c r="E21" s="43"/>
      <c r="F21" s="44"/>
      <c r="G21" s="43">
        <v>125.83</v>
      </c>
      <c r="H21" s="44"/>
      <c r="I21" s="43"/>
      <c r="J21" s="45"/>
    </row>
    <row r="22" spans="1:10">
      <c r="A22" s="41">
        <v>14</v>
      </c>
      <c r="B22" s="46">
        <v>46032</v>
      </c>
      <c r="C22" s="42" t="s">
        <v>751</v>
      </c>
      <c r="D22" s="42" t="s">
        <v>752</v>
      </c>
      <c r="E22" s="43"/>
      <c r="F22" s="44"/>
      <c r="G22" s="43">
        <v>600</v>
      </c>
      <c r="H22" s="44"/>
      <c r="I22" s="43"/>
      <c r="J22" s="45"/>
    </row>
    <row r="23" spans="1:10">
      <c r="A23" s="41">
        <v>15</v>
      </c>
      <c r="B23" s="46">
        <v>46032</v>
      </c>
      <c r="C23" s="42" t="s">
        <v>753</v>
      </c>
      <c r="D23" s="42" t="s">
        <v>543</v>
      </c>
      <c r="E23" s="43"/>
      <c r="F23" s="44"/>
      <c r="G23" s="43">
        <v>381.24</v>
      </c>
      <c r="H23" s="44"/>
      <c r="I23" s="43"/>
      <c r="J23" s="45"/>
    </row>
    <row r="24" spans="1:10">
      <c r="A24" s="41">
        <v>16</v>
      </c>
      <c r="B24" s="46">
        <v>46032</v>
      </c>
      <c r="C24" s="42" t="s">
        <v>754</v>
      </c>
      <c r="D24" s="42" t="s">
        <v>755</v>
      </c>
      <c r="E24" s="43"/>
      <c r="F24" s="44"/>
      <c r="G24" s="43">
        <v>202.55</v>
      </c>
      <c r="H24" s="44"/>
      <c r="I24" s="43"/>
      <c r="J24" s="45"/>
    </row>
    <row r="25" spans="1:10">
      <c r="A25" s="41">
        <v>17</v>
      </c>
      <c r="B25" s="46">
        <v>46032</v>
      </c>
      <c r="C25" s="42" t="s">
        <v>756</v>
      </c>
      <c r="D25" s="42" t="s">
        <v>179</v>
      </c>
      <c r="E25" s="43"/>
      <c r="F25" s="44"/>
      <c r="G25" s="43">
        <v>250</v>
      </c>
      <c r="H25" s="44"/>
      <c r="I25" s="43"/>
      <c r="J25" s="45"/>
    </row>
    <row r="26" spans="1:10">
      <c r="A26" s="41">
        <v>18</v>
      </c>
      <c r="B26" s="46">
        <v>46032</v>
      </c>
      <c r="C26" s="42" t="s">
        <v>757</v>
      </c>
      <c r="D26" s="42" t="s">
        <v>94</v>
      </c>
      <c r="E26" s="43"/>
      <c r="F26" s="44"/>
      <c r="G26" s="43">
        <v>272.17</v>
      </c>
      <c r="H26" s="44"/>
      <c r="I26" s="43"/>
      <c r="J26" s="45"/>
    </row>
    <row r="27" spans="1:10">
      <c r="A27" s="41">
        <v>19</v>
      </c>
      <c r="B27" s="46">
        <v>46032</v>
      </c>
      <c r="C27" s="42" t="s">
        <v>758</v>
      </c>
      <c r="D27" s="42" t="s">
        <v>205</v>
      </c>
      <c r="E27" s="43"/>
      <c r="F27" s="44"/>
      <c r="G27" s="43">
        <v>200</v>
      </c>
      <c r="H27" s="44"/>
      <c r="I27" s="43"/>
      <c r="J27" s="45"/>
    </row>
    <row r="28" spans="1:10">
      <c r="A28" s="41">
        <v>20</v>
      </c>
      <c r="B28" s="46">
        <v>46032</v>
      </c>
      <c r="C28" s="42" t="s">
        <v>759</v>
      </c>
      <c r="D28" s="42" t="s">
        <v>760</v>
      </c>
      <c r="E28" s="43"/>
      <c r="F28" s="44"/>
      <c r="G28" s="43">
        <v>189.46</v>
      </c>
      <c r="H28" s="44"/>
      <c r="I28" s="43"/>
      <c r="J28" s="45"/>
    </row>
    <row r="29" spans="1:10">
      <c r="A29" s="41">
        <v>21</v>
      </c>
      <c r="B29" s="46">
        <v>46032</v>
      </c>
      <c r="C29" s="42" t="s">
        <v>761</v>
      </c>
      <c r="D29" s="42" t="s">
        <v>762</v>
      </c>
      <c r="E29" s="43"/>
      <c r="F29" s="44"/>
      <c r="G29" s="43">
        <v>100</v>
      </c>
      <c r="H29" s="44"/>
      <c r="I29" s="43"/>
      <c r="J29" s="45"/>
    </row>
    <row r="30" spans="1:10">
      <c r="A30" s="41">
        <v>22</v>
      </c>
      <c r="B30" s="46">
        <v>46032</v>
      </c>
      <c r="C30" s="42" t="s">
        <v>763</v>
      </c>
      <c r="D30" s="42" t="s">
        <v>764</v>
      </c>
      <c r="E30" s="43"/>
      <c r="F30" s="44"/>
      <c r="G30" s="43">
        <v>200</v>
      </c>
      <c r="H30" s="44"/>
      <c r="I30" s="43"/>
      <c r="J30" s="45"/>
    </row>
    <row r="31" spans="1:10" s="9" customFormat="1" thickBot="1">
      <c r="A31" s="47"/>
      <c r="B31" s="48"/>
      <c r="C31" s="48"/>
      <c r="D31" s="48" t="s">
        <v>4</v>
      </c>
      <c r="E31" s="50"/>
      <c r="F31" s="49"/>
      <c r="G31" s="50">
        <v>7421.68</v>
      </c>
      <c r="H31" s="49"/>
      <c r="I31" s="50">
        <v>40577.82</v>
      </c>
      <c r="J31" s="51">
        <f>J7</f>
        <v>300101156</v>
      </c>
    </row>
    <row r="33" spans="8:8">
      <c r="H33" s="10" t="s">
        <v>14</v>
      </c>
    </row>
    <row r="34" spans="8:8">
      <c r="H34" s="11" t="s">
        <v>15</v>
      </c>
    </row>
    <row r="175" spans="52:52">
      <c r="AZ175" s="1" t="s">
        <v>5</v>
      </c>
    </row>
  </sheetData>
  <mergeCells count="9">
    <mergeCell ref="A1:E2"/>
    <mergeCell ref="A3:J4"/>
    <mergeCell ref="A5:A6"/>
    <mergeCell ref="B5:B6"/>
    <mergeCell ref="C5:C6"/>
    <mergeCell ref="D5:D6"/>
    <mergeCell ref="E5:F5"/>
    <mergeCell ref="G5:H5"/>
    <mergeCell ref="I5:J5"/>
  </mergeCells>
  <pageMargins left="0.5" right="0" top="0.5" bottom="0.5" header="0" footer="0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8835E-35B2-4E8E-A529-7DD1F5162E80}">
  <dimension ref="A1:AZ175"/>
  <sheetViews>
    <sheetView topLeftCell="D14" zoomScale="85" zoomScaleNormal="85" workbookViewId="0">
      <selection activeCell="L31" sqref="L31"/>
    </sheetView>
  </sheetViews>
  <sheetFormatPr defaultColWidth="9.15234375" defaultRowHeight="12.9"/>
  <cols>
    <col min="1" max="1" width="4.23046875" style="1" bestFit="1" customWidth="1"/>
    <col min="2" max="2" width="6.84375" style="1" bestFit="1" customWidth="1"/>
    <col min="3" max="3" width="10.23046875" style="6" bestFit="1" customWidth="1"/>
    <col min="4" max="4" width="29.61328125" style="1" bestFit="1" customWidth="1"/>
    <col min="5" max="5" width="4" style="7" bestFit="1" customWidth="1"/>
    <col min="6" max="6" width="4.23046875" style="1" bestFit="1" customWidth="1"/>
    <col min="7" max="9" width="8.4609375" style="1" bestFit="1" customWidth="1"/>
    <col min="10" max="10" width="10.15234375" style="1" bestFit="1" customWidth="1"/>
    <col min="11" max="16384" width="9.15234375" style="1"/>
  </cols>
  <sheetData>
    <row r="1" spans="1:52" ht="28.3" customHeight="1">
      <c r="A1" s="79" t="s">
        <v>17</v>
      </c>
      <c r="B1" s="80"/>
      <c r="C1" s="80"/>
      <c r="D1" s="80"/>
      <c r="E1" s="80"/>
    </row>
    <row r="2" spans="1:52" ht="28.3" customHeight="1">
      <c r="A2" s="80"/>
      <c r="B2" s="80"/>
      <c r="C2" s="80"/>
      <c r="D2" s="80"/>
      <c r="E2" s="80"/>
    </row>
    <row r="3" spans="1:52">
      <c r="A3" s="81" t="s">
        <v>11</v>
      </c>
      <c r="B3" s="81"/>
      <c r="C3" s="81"/>
      <c r="D3" s="81"/>
      <c r="E3" s="81"/>
      <c r="F3" s="81"/>
      <c r="G3" s="81"/>
      <c r="H3" s="81"/>
      <c r="I3" s="81"/>
      <c r="J3" s="81"/>
      <c r="AS3" s="2">
        <v>43921</v>
      </c>
      <c r="AZ3" s="1">
        <f>(AQ3-4)*20000</f>
        <v>-80000</v>
      </c>
    </row>
    <row r="4" spans="1:52" ht="13.3" thickBot="1">
      <c r="A4" s="81"/>
      <c r="B4" s="81"/>
      <c r="C4" s="81"/>
      <c r="D4" s="81"/>
      <c r="E4" s="81"/>
      <c r="F4" s="81"/>
      <c r="G4" s="81"/>
      <c r="H4" s="81"/>
      <c r="I4" s="81"/>
      <c r="J4" s="81"/>
    </row>
    <row r="5" spans="1:52">
      <c r="A5" s="82" t="s">
        <v>0</v>
      </c>
      <c r="B5" s="84" t="s">
        <v>9</v>
      </c>
      <c r="C5" s="86" t="s">
        <v>1</v>
      </c>
      <c r="D5" s="84" t="s">
        <v>10</v>
      </c>
      <c r="E5" s="88" t="s">
        <v>13</v>
      </c>
      <c r="F5" s="88"/>
      <c r="G5" s="88" t="s">
        <v>8</v>
      </c>
      <c r="H5" s="88"/>
      <c r="I5" s="88" t="s">
        <v>7</v>
      </c>
      <c r="J5" s="89"/>
    </row>
    <row r="6" spans="1:52">
      <c r="A6" s="83"/>
      <c r="B6" s="85"/>
      <c r="C6" s="87"/>
      <c r="D6" s="85"/>
      <c r="E6" s="38" t="s">
        <v>2</v>
      </c>
      <c r="F6" s="39" t="s">
        <v>6</v>
      </c>
      <c r="G6" s="39" t="s">
        <v>2</v>
      </c>
      <c r="H6" s="39" t="s">
        <v>6</v>
      </c>
      <c r="I6" s="39" t="s">
        <v>2</v>
      </c>
      <c r="J6" s="40" t="s">
        <v>6</v>
      </c>
    </row>
    <row r="7" spans="1:52">
      <c r="A7" s="41"/>
      <c r="B7" s="42"/>
      <c r="C7" s="42"/>
      <c r="D7" s="42" t="s">
        <v>12</v>
      </c>
      <c r="E7" s="43"/>
      <c r="F7" s="44"/>
      <c r="G7" s="43"/>
      <c r="H7" s="44"/>
      <c r="I7" s="43">
        <v>40577.82</v>
      </c>
      <c r="J7" s="45">
        <v>300101156</v>
      </c>
    </row>
    <row r="8" spans="1:52">
      <c r="A8" s="41"/>
      <c r="B8" s="42"/>
      <c r="C8" s="42"/>
      <c r="D8" s="42" t="s">
        <v>16</v>
      </c>
      <c r="E8" s="43">
        <v>0</v>
      </c>
      <c r="F8" s="44">
        <v>0</v>
      </c>
      <c r="G8" s="43"/>
      <c r="H8" s="44"/>
      <c r="I8" s="43"/>
      <c r="J8" s="45"/>
    </row>
    <row r="9" spans="1:52">
      <c r="A9" s="41">
        <v>1</v>
      </c>
      <c r="B9" s="46">
        <v>46033</v>
      </c>
      <c r="C9" s="42" t="s">
        <v>765</v>
      </c>
      <c r="D9" s="42" t="s">
        <v>766</v>
      </c>
      <c r="E9" s="43"/>
      <c r="F9" s="44"/>
      <c r="G9" s="43">
        <v>2346.9899999999998</v>
      </c>
      <c r="H9" s="44"/>
      <c r="I9" s="43"/>
      <c r="J9" s="45"/>
    </row>
    <row r="10" spans="1:52">
      <c r="A10" s="41">
        <v>2</v>
      </c>
      <c r="B10" s="46">
        <v>46033</v>
      </c>
      <c r="C10" s="42" t="s">
        <v>767</v>
      </c>
      <c r="D10" s="42" t="s">
        <v>768</v>
      </c>
      <c r="E10" s="43"/>
      <c r="F10" s="44"/>
      <c r="G10" s="43">
        <v>650</v>
      </c>
      <c r="H10" s="44"/>
      <c r="I10" s="43"/>
      <c r="J10" s="45"/>
      <c r="AX10" s="5" t="s">
        <v>3</v>
      </c>
    </row>
    <row r="11" spans="1:52">
      <c r="A11" s="41">
        <v>3</v>
      </c>
      <c r="B11" s="46">
        <v>46033</v>
      </c>
      <c r="C11" s="42" t="s">
        <v>769</v>
      </c>
      <c r="D11" s="42" t="s">
        <v>770</v>
      </c>
      <c r="E11" s="43"/>
      <c r="F11" s="44"/>
      <c r="G11" s="43">
        <v>500</v>
      </c>
      <c r="H11" s="44"/>
      <c r="I11" s="43"/>
      <c r="J11" s="45"/>
    </row>
    <row r="12" spans="1:52">
      <c r="A12" s="41">
        <v>4</v>
      </c>
      <c r="B12" s="46">
        <v>46033</v>
      </c>
      <c r="C12" s="42" t="s">
        <v>771</v>
      </c>
      <c r="D12" s="42" t="s">
        <v>772</v>
      </c>
      <c r="E12" s="43"/>
      <c r="F12" s="44"/>
      <c r="G12" s="43">
        <v>500</v>
      </c>
      <c r="H12" s="44"/>
      <c r="I12" s="43"/>
      <c r="J12" s="45"/>
    </row>
    <row r="13" spans="1:52">
      <c r="A13" s="41">
        <v>5</v>
      </c>
      <c r="B13" s="46">
        <v>46033</v>
      </c>
      <c r="C13" s="42" t="s">
        <v>773</v>
      </c>
      <c r="D13" s="42" t="s">
        <v>774</v>
      </c>
      <c r="E13" s="43"/>
      <c r="F13" s="44"/>
      <c r="G13" s="43">
        <v>200</v>
      </c>
      <c r="H13" s="44"/>
      <c r="I13" s="43"/>
      <c r="J13" s="45"/>
    </row>
    <row r="14" spans="1:52">
      <c r="A14" s="41">
        <v>6</v>
      </c>
      <c r="B14" s="46">
        <v>46033</v>
      </c>
      <c r="C14" s="42" t="s">
        <v>775</v>
      </c>
      <c r="D14" s="42" t="s">
        <v>776</v>
      </c>
      <c r="E14" s="43"/>
      <c r="F14" s="44"/>
      <c r="G14" s="43">
        <v>150</v>
      </c>
      <c r="H14" s="44"/>
      <c r="I14" s="43"/>
      <c r="J14" s="45"/>
    </row>
    <row r="15" spans="1:52">
      <c r="A15" s="41">
        <v>7</v>
      </c>
      <c r="B15" s="46">
        <v>46033</v>
      </c>
      <c r="C15" s="42" t="s">
        <v>777</v>
      </c>
      <c r="D15" s="42" t="s">
        <v>211</v>
      </c>
      <c r="E15" s="43"/>
      <c r="F15" s="44"/>
      <c r="G15" s="43">
        <v>28.13</v>
      </c>
      <c r="H15" s="44"/>
      <c r="I15" s="43"/>
      <c r="J15" s="45"/>
    </row>
    <row r="16" spans="1:52">
      <c r="A16" s="41">
        <v>8</v>
      </c>
      <c r="B16" s="46">
        <v>46033</v>
      </c>
      <c r="C16" s="42" t="s">
        <v>778</v>
      </c>
      <c r="D16" s="42" t="s">
        <v>779</v>
      </c>
      <c r="E16" s="43"/>
      <c r="F16" s="44"/>
      <c r="G16" s="43">
        <v>200</v>
      </c>
      <c r="H16" s="44"/>
      <c r="I16" s="43"/>
      <c r="J16" s="45"/>
    </row>
    <row r="17" spans="1:10">
      <c r="A17" s="41">
        <v>9</v>
      </c>
      <c r="B17" s="46">
        <v>46033</v>
      </c>
      <c r="C17" s="42" t="s">
        <v>780</v>
      </c>
      <c r="D17" s="42" t="s">
        <v>781</v>
      </c>
      <c r="E17" s="43"/>
      <c r="F17" s="44"/>
      <c r="G17" s="43">
        <v>900</v>
      </c>
      <c r="H17" s="44"/>
      <c r="I17" s="43"/>
      <c r="J17" s="45"/>
    </row>
    <row r="18" spans="1:10">
      <c r="A18" s="41">
        <v>10</v>
      </c>
      <c r="B18" s="46">
        <v>46033</v>
      </c>
      <c r="C18" s="42" t="s">
        <v>782</v>
      </c>
      <c r="D18" s="42" t="s">
        <v>783</v>
      </c>
      <c r="E18" s="43"/>
      <c r="F18" s="44"/>
      <c r="G18" s="43">
        <v>300</v>
      </c>
      <c r="H18" s="44"/>
      <c r="I18" s="43"/>
      <c r="J18" s="45"/>
    </row>
    <row r="19" spans="1:10">
      <c r="A19" s="41">
        <v>11</v>
      </c>
      <c r="B19" s="46">
        <v>46033</v>
      </c>
      <c r="C19" s="42" t="s">
        <v>784</v>
      </c>
      <c r="D19" s="42" t="s">
        <v>785</v>
      </c>
      <c r="E19" s="43"/>
      <c r="F19" s="44"/>
      <c r="G19" s="43">
        <v>2659.66</v>
      </c>
      <c r="H19" s="44"/>
      <c r="I19" s="43"/>
      <c r="J19" s="45"/>
    </row>
    <row r="20" spans="1:10">
      <c r="A20" s="41">
        <v>12</v>
      </c>
      <c r="B20" s="46">
        <v>46033</v>
      </c>
      <c r="C20" s="42" t="s">
        <v>786</v>
      </c>
      <c r="D20" s="42" t="s">
        <v>227</v>
      </c>
      <c r="E20" s="43"/>
      <c r="F20" s="44"/>
      <c r="G20" s="43">
        <v>900</v>
      </c>
      <c r="H20" s="44"/>
      <c r="I20" s="43"/>
      <c r="J20" s="45"/>
    </row>
    <row r="21" spans="1:10">
      <c r="A21" s="41">
        <v>13</v>
      </c>
      <c r="B21" s="46">
        <v>46033</v>
      </c>
      <c r="C21" s="42" t="s">
        <v>787</v>
      </c>
      <c r="D21" s="42" t="s">
        <v>788</v>
      </c>
      <c r="E21" s="43"/>
      <c r="F21" s="44"/>
      <c r="G21" s="43">
        <v>250</v>
      </c>
      <c r="H21" s="44"/>
      <c r="I21" s="43"/>
      <c r="J21" s="45"/>
    </row>
    <row r="22" spans="1:10">
      <c r="A22" s="41">
        <v>14</v>
      </c>
      <c r="B22" s="46">
        <v>46033</v>
      </c>
      <c r="C22" s="42" t="s">
        <v>789</v>
      </c>
      <c r="D22" s="42" t="s">
        <v>790</v>
      </c>
      <c r="E22" s="43"/>
      <c r="F22" s="44"/>
      <c r="G22" s="43">
        <v>100</v>
      </c>
      <c r="H22" s="44"/>
      <c r="I22" s="43"/>
      <c r="J22" s="45"/>
    </row>
    <row r="23" spans="1:10">
      <c r="A23" s="41">
        <v>15</v>
      </c>
      <c r="B23" s="46">
        <v>46033</v>
      </c>
      <c r="C23" s="42" t="s">
        <v>791</v>
      </c>
      <c r="D23" s="42" t="s">
        <v>792</v>
      </c>
      <c r="E23" s="43"/>
      <c r="F23" s="44"/>
      <c r="G23" s="43">
        <v>700</v>
      </c>
      <c r="H23" s="44"/>
      <c r="I23" s="43"/>
      <c r="J23" s="45"/>
    </row>
    <row r="24" spans="1:10">
      <c r="A24" s="41">
        <v>16</v>
      </c>
      <c r="B24" s="46">
        <v>46033</v>
      </c>
      <c r="C24" s="42" t="s">
        <v>793</v>
      </c>
      <c r="D24" s="42" t="s">
        <v>704</v>
      </c>
      <c r="E24" s="43"/>
      <c r="F24" s="44"/>
      <c r="G24" s="43">
        <v>121.98</v>
      </c>
      <c r="H24" s="44"/>
      <c r="I24" s="43"/>
      <c r="J24" s="45"/>
    </row>
    <row r="25" spans="1:10">
      <c r="A25" s="41">
        <v>17</v>
      </c>
      <c r="B25" s="46">
        <v>46033</v>
      </c>
      <c r="C25" s="42" t="s">
        <v>794</v>
      </c>
      <c r="D25" s="42" t="s">
        <v>795</v>
      </c>
      <c r="E25" s="43"/>
      <c r="F25" s="44"/>
      <c r="G25" s="43">
        <v>400</v>
      </c>
      <c r="H25" s="44"/>
      <c r="I25" s="43"/>
      <c r="J25" s="45"/>
    </row>
    <row r="26" spans="1:10">
      <c r="A26" s="41">
        <v>18</v>
      </c>
      <c r="B26" s="46">
        <v>46033</v>
      </c>
      <c r="C26" s="42" t="s">
        <v>796</v>
      </c>
      <c r="D26" s="42" t="s">
        <v>797</v>
      </c>
      <c r="E26" s="43"/>
      <c r="F26" s="44"/>
      <c r="G26" s="43">
        <v>130.83000000000001</v>
      </c>
      <c r="H26" s="44"/>
      <c r="I26" s="43"/>
      <c r="J26" s="45"/>
    </row>
    <row r="27" spans="1:10">
      <c r="A27" s="41">
        <v>19</v>
      </c>
      <c r="B27" s="46">
        <v>46033</v>
      </c>
      <c r="C27" s="42" t="s">
        <v>798</v>
      </c>
      <c r="D27" s="42" t="s">
        <v>799</v>
      </c>
      <c r="E27" s="43"/>
      <c r="F27" s="44"/>
      <c r="G27" s="43">
        <v>200</v>
      </c>
      <c r="H27" s="44"/>
      <c r="I27" s="43"/>
      <c r="J27" s="45"/>
    </row>
    <row r="28" spans="1:10">
      <c r="A28" s="41">
        <v>20</v>
      </c>
      <c r="B28" s="46">
        <v>46033</v>
      </c>
      <c r="C28" s="42" t="s">
        <v>800</v>
      </c>
      <c r="D28" s="42" t="s">
        <v>573</v>
      </c>
      <c r="E28" s="43"/>
      <c r="F28" s="44"/>
      <c r="G28" s="43">
        <v>48.29</v>
      </c>
      <c r="H28" s="44"/>
      <c r="I28" s="43"/>
      <c r="J28" s="45"/>
    </row>
    <row r="29" spans="1:10">
      <c r="A29" s="41">
        <v>21</v>
      </c>
      <c r="B29" s="46">
        <v>46033</v>
      </c>
      <c r="C29" s="42" t="s">
        <v>801</v>
      </c>
      <c r="D29" s="42" t="s">
        <v>573</v>
      </c>
      <c r="E29" s="43"/>
      <c r="F29" s="44"/>
      <c r="G29" s="43">
        <v>53.66</v>
      </c>
      <c r="H29" s="44"/>
      <c r="I29" s="43"/>
      <c r="J29" s="45"/>
    </row>
    <row r="30" spans="1:10">
      <c r="A30" s="41">
        <v>22</v>
      </c>
      <c r="B30" s="46">
        <v>46033</v>
      </c>
      <c r="C30" s="42" t="s">
        <v>802</v>
      </c>
      <c r="D30" s="42" t="s">
        <v>803</v>
      </c>
      <c r="E30" s="43"/>
      <c r="F30" s="44"/>
      <c r="G30" s="43">
        <v>250</v>
      </c>
      <c r="H30" s="44"/>
      <c r="I30" s="43"/>
      <c r="J30" s="45"/>
    </row>
    <row r="31" spans="1:10">
      <c r="A31" s="41">
        <v>23</v>
      </c>
      <c r="B31" s="46">
        <v>46033</v>
      </c>
      <c r="C31" s="42" t="s">
        <v>804</v>
      </c>
      <c r="D31" s="42" t="s">
        <v>805</v>
      </c>
      <c r="E31" s="43"/>
      <c r="F31" s="44"/>
      <c r="G31" s="43">
        <v>300</v>
      </c>
      <c r="H31" s="44"/>
      <c r="I31" s="43"/>
      <c r="J31" s="45"/>
    </row>
    <row r="32" spans="1:10" s="9" customFormat="1" ht="12.45">
      <c r="A32" s="41">
        <v>24</v>
      </c>
      <c r="B32" s="46">
        <v>46033</v>
      </c>
      <c r="C32" s="42" t="s">
        <v>806</v>
      </c>
      <c r="D32" s="42" t="s">
        <v>805</v>
      </c>
      <c r="E32" s="43"/>
      <c r="F32" s="44"/>
      <c r="G32" s="43">
        <v>400</v>
      </c>
      <c r="H32" s="44"/>
      <c r="I32" s="43"/>
      <c r="J32" s="45"/>
    </row>
    <row r="33" spans="1:10">
      <c r="A33" s="41">
        <v>25</v>
      </c>
      <c r="B33" s="46">
        <v>46033</v>
      </c>
      <c r="C33" s="42" t="s">
        <v>807</v>
      </c>
      <c r="D33" s="42" t="s">
        <v>609</v>
      </c>
      <c r="E33" s="43"/>
      <c r="F33" s="44"/>
      <c r="G33" s="43">
        <v>200</v>
      </c>
      <c r="H33" s="44"/>
      <c r="I33" s="43"/>
      <c r="J33" s="45"/>
    </row>
    <row r="34" spans="1:10">
      <c r="A34" s="41">
        <v>26</v>
      </c>
      <c r="B34" s="46">
        <v>46033</v>
      </c>
      <c r="C34" s="42" t="s">
        <v>808</v>
      </c>
      <c r="D34" s="42" t="s">
        <v>809</v>
      </c>
      <c r="E34" s="43"/>
      <c r="F34" s="44"/>
      <c r="G34" s="43">
        <v>300</v>
      </c>
      <c r="H34" s="44"/>
      <c r="I34" s="43"/>
      <c r="J34" s="45"/>
    </row>
    <row r="35" spans="1:10">
      <c r="A35" s="41">
        <v>27</v>
      </c>
      <c r="B35" s="46">
        <v>46033</v>
      </c>
      <c r="C35" s="42" t="s">
        <v>810</v>
      </c>
      <c r="D35" s="42" t="s">
        <v>811</v>
      </c>
      <c r="E35" s="43"/>
      <c r="F35" s="44"/>
      <c r="G35" s="43">
        <v>2000</v>
      </c>
      <c r="H35" s="44"/>
      <c r="I35" s="43"/>
      <c r="J35" s="45"/>
    </row>
    <row r="36" spans="1:10">
      <c r="A36" s="41">
        <v>28</v>
      </c>
      <c r="B36" s="46">
        <v>46033</v>
      </c>
      <c r="C36" s="42" t="s">
        <v>812</v>
      </c>
      <c r="D36" s="42" t="s">
        <v>811</v>
      </c>
      <c r="E36" s="43"/>
      <c r="F36" s="44"/>
      <c r="G36" s="43">
        <v>2000</v>
      </c>
      <c r="H36" s="44"/>
      <c r="I36" s="43"/>
      <c r="J36" s="45"/>
    </row>
    <row r="37" spans="1:10">
      <c r="A37" s="41">
        <v>29</v>
      </c>
      <c r="B37" s="46">
        <v>46033</v>
      </c>
      <c r="C37" s="42" t="s">
        <v>813</v>
      </c>
      <c r="D37" s="42" t="s">
        <v>814</v>
      </c>
      <c r="E37" s="43"/>
      <c r="F37" s="44"/>
      <c r="G37" s="43">
        <v>158.04</v>
      </c>
      <c r="H37" s="44"/>
      <c r="I37" s="43"/>
      <c r="J37" s="45"/>
    </row>
    <row r="38" spans="1:10" ht="13.3" thickBot="1">
      <c r="A38" s="64"/>
      <c r="B38" s="65"/>
      <c r="C38" s="65"/>
      <c r="D38" s="65" t="s">
        <v>4</v>
      </c>
      <c r="E38" s="66"/>
      <c r="F38" s="67"/>
      <c r="G38" s="66">
        <v>16947.580000000002</v>
      </c>
      <c r="H38" s="67">
        <v>0</v>
      </c>
      <c r="I38" s="66">
        <v>23630.240000000002</v>
      </c>
      <c r="J38" s="45">
        <v>300101156</v>
      </c>
    </row>
    <row r="40" spans="1:10">
      <c r="H40" s="10" t="s">
        <v>14</v>
      </c>
    </row>
    <row r="41" spans="1:10">
      <c r="H41" s="11" t="s">
        <v>15</v>
      </c>
    </row>
    <row r="175" spans="52:52">
      <c r="AZ175" s="1" t="s">
        <v>5</v>
      </c>
    </row>
  </sheetData>
  <mergeCells count="9">
    <mergeCell ref="A1:E2"/>
    <mergeCell ref="A3:J4"/>
    <mergeCell ref="A5:A6"/>
    <mergeCell ref="B5:B6"/>
    <mergeCell ref="C5:C6"/>
    <mergeCell ref="D5:D6"/>
    <mergeCell ref="E5:F5"/>
    <mergeCell ref="G5:H5"/>
    <mergeCell ref="I5:J5"/>
  </mergeCells>
  <pageMargins left="0.5" right="0" top="0.5" bottom="0.5" header="0" footer="0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54EFA-367F-4B6A-B38B-504B43C0E094}">
  <dimension ref="A1:AZ176"/>
  <sheetViews>
    <sheetView topLeftCell="A37" zoomScale="85" zoomScaleNormal="85" workbookViewId="0">
      <selection activeCell="J61" sqref="J61"/>
    </sheetView>
  </sheetViews>
  <sheetFormatPr defaultColWidth="9.15234375" defaultRowHeight="12.9"/>
  <cols>
    <col min="1" max="1" width="4.23046875" style="1" bestFit="1" customWidth="1"/>
    <col min="2" max="2" width="6.84375" style="1" bestFit="1" customWidth="1"/>
    <col min="3" max="3" width="10.23046875" style="6" bestFit="1" customWidth="1"/>
    <col min="4" max="4" width="25.4609375" style="1" bestFit="1" customWidth="1"/>
    <col min="5" max="5" width="8.4609375" style="7" bestFit="1" customWidth="1"/>
    <col min="6" max="6" width="6.69140625" style="1" bestFit="1" customWidth="1"/>
    <col min="7" max="9" width="8.84375" style="1" bestFit="1" customWidth="1"/>
    <col min="10" max="10" width="10.61328125" style="1" bestFit="1" customWidth="1"/>
    <col min="11" max="16384" width="9.15234375" style="1"/>
  </cols>
  <sheetData>
    <row r="1" spans="1:52" ht="28.3" customHeight="1">
      <c r="A1" s="79" t="s">
        <v>17</v>
      </c>
      <c r="B1" s="80"/>
      <c r="C1" s="80"/>
      <c r="D1" s="80"/>
      <c r="E1" s="80"/>
    </row>
    <row r="2" spans="1:52" ht="28.3" customHeight="1">
      <c r="A2" s="80"/>
      <c r="B2" s="80"/>
      <c r="C2" s="80"/>
      <c r="D2" s="80"/>
      <c r="E2" s="80"/>
    </row>
    <row r="3" spans="1:52">
      <c r="A3" s="81" t="s">
        <v>11</v>
      </c>
      <c r="B3" s="81"/>
      <c r="C3" s="81"/>
      <c r="D3" s="81"/>
      <c r="E3" s="81"/>
      <c r="F3" s="81"/>
      <c r="G3" s="81"/>
      <c r="H3" s="81"/>
      <c r="I3" s="81"/>
      <c r="J3" s="81"/>
      <c r="AS3" s="2">
        <v>43921</v>
      </c>
      <c r="AZ3" s="1">
        <f>(AQ3-4)*20000</f>
        <v>-80000</v>
      </c>
    </row>
    <row r="4" spans="1:52" ht="13.3" thickBot="1">
      <c r="A4" s="81"/>
      <c r="B4" s="81"/>
      <c r="C4" s="81"/>
      <c r="D4" s="81"/>
      <c r="E4" s="81"/>
      <c r="F4" s="81"/>
      <c r="G4" s="81"/>
      <c r="H4" s="81"/>
      <c r="I4" s="81"/>
      <c r="J4" s="81"/>
    </row>
    <row r="5" spans="1:52" ht="32.25" customHeight="1">
      <c r="A5" s="82" t="s">
        <v>0</v>
      </c>
      <c r="B5" s="84" t="s">
        <v>9</v>
      </c>
      <c r="C5" s="86" t="s">
        <v>1</v>
      </c>
      <c r="D5" s="84" t="s">
        <v>10</v>
      </c>
      <c r="E5" s="88" t="s">
        <v>13</v>
      </c>
      <c r="F5" s="88"/>
      <c r="G5" s="88" t="s">
        <v>8</v>
      </c>
      <c r="H5" s="88"/>
      <c r="I5" s="88" t="s">
        <v>7</v>
      </c>
      <c r="J5" s="89"/>
    </row>
    <row r="6" spans="1:52" ht="32.25" customHeight="1">
      <c r="A6" s="83"/>
      <c r="B6" s="85"/>
      <c r="C6" s="87"/>
      <c r="D6" s="85"/>
      <c r="E6" s="38" t="s">
        <v>2</v>
      </c>
      <c r="F6" s="39" t="s">
        <v>6</v>
      </c>
      <c r="G6" s="39" t="s">
        <v>2</v>
      </c>
      <c r="H6" s="39" t="s">
        <v>6</v>
      </c>
      <c r="I6" s="39" t="s">
        <v>2</v>
      </c>
      <c r="J6" s="40" t="s">
        <v>6</v>
      </c>
    </row>
    <row r="7" spans="1:52" ht="15.9" customHeight="1">
      <c r="A7" s="41"/>
      <c r="B7" s="42"/>
      <c r="C7" s="42"/>
      <c r="D7" s="42" t="s">
        <v>12</v>
      </c>
      <c r="E7" s="43"/>
      <c r="F7" s="44"/>
      <c r="G7" s="43"/>
      <c r="H7" s="44"/>
      <c r="I7" s="43">
        <v>23630.240000000002</v>
      </c>
      <c r="J7" s="45">
        <v>300101156</v>
      </c>
    </row>
    <row r="8" spans="1:52" ht="15.9" customHeight="1">
      <c r="A8" s="41"/>
      <c r="B8" s="42"/>
      <c r="C8" s="42"/>
      <c r="D8" s="42" t="s">
        <v>16</v>
      </c>
      <c r="E8" s="43">
        <v>66066</v>
      </c>
      <c r="F8" s="44">
        <f>14036+16456+23474</f>
        <v>53966</v>
      </c>
      <c r="G8" s="43"/>
      <c r="H8" s="44"/>
      <c r="I8" s="43"/>
      <c r="J8" s="45"/>
    </row>
    <row r="9" spans="1:52" ht="15.9" customHeight="1">
      <c r="A9" s="41">
        <v>1</v>
      </c>
      <c r="B9" s="46">
        <v>46034</v>
      </c>
      <c r="C9" s="42" t="s">
        <v>815</v>
      </c>
      <c r="D9" s="42" t="s">
        <v>816</v>
      </c>
      <c r="E9" s="43"/>
      <c r="F9" s="44"/>
      <c r="G9" s="43">
        <v>2000</v>
      </c>
      <c r="H9" s="44"/>
      <c r="I9" s="43"/>
      <c r="J9" s="45"/>
    </row>
    <row r="10" spans="1:52" ht="15.9" customHeight="1">
      <c r="A10" s="41">
        <v>2</v>
      </c>
      <c r="B10" s="46">
        <v>46034</v>
      </c>
      <c r="C10" s="42" t="s">
        <v>817</v>
      </c>
      <c r="D10" s="42" t="s">
        <v>818</v>
      </c>
      <c r="E10" s="43"/>
      <c r="F10" s="44"/>
      <c r="G10" s="43">
        <v>500</v>
      </c>
      <c r="H10" s="44"/>
      <c r="I10" s="43"/>
      <c r="J10" s="45"/>
      <c r="AX10" s="5" t="s">
        <v>3</v>
      </c>
    </row>
    <row r="11" spans="1:52" ht="15.9" customHeight="1">
      <c r="A11" s="41">
        <v>3</v>
      </c>
      <c r="B11" s="46">
        <v>46034</v>
      </c>
      <c r="C11" s="42" t="s">
        <v>819</v>
      </c>
      <c r="D11" s="42" t="s">
        <v>573</v>
      </c>
      <c r="E11" s="43"/>
      <c r="F11" s="44"/>
      <c r="G11" s="43">
        <v>101.95</v>
      </c>
      <c r="H11" s="44"/>
      <c r="I11" s="43"/>
      <c r="J11" s="45"/>
    </row>
    <row r="12" spans="1:52" ht="12.75" customHeight="1">
      <c r="A12" s="41">
        <v>4</v>
      </c>
      <c r="B12" s="46">
        <v>46034</v>
      </c>
      <c r="C12" s="42" t="s">
        <v>820</v>
      </c>
      <c r="D12" s="42" t="s">
        <v>573</v>
      </c>
      <c r="E12" s="43"/>
      <c r="F12" s="44"/>
      <c r="G12" s="43">
        <v>107.32</v>
      </c>
      <c r="H12" s="44"/>
      <c r="I12" s="43"/>
      <c r="J12" s="45"/>
    </row>
    <row r="13" spans="1:52" ht="12.75" customHeight="1">
      <c r="A13" s="41">
        <v>5</v>
      </c>
      <c r="B13" s="46">
        <v>46034</v>
      </c>
      <c r="C13" s="42" t="s">
        <v>821</v>
      </c>
      <c r="D13" s="42" t="s">
        <v>281</v>
      </c>
      <c r="E13" s="43"/>
      <c r="F13" s="44"/>
      <c r="G13" s="43">
        <v>342.74</v>
      </c>
      <c r="H13" s="44"/>
      <c r="I13" s="43"/>
      <c r="J13" s="45"/>
    </row>
    <row r="14" spans="1:52" ht="12.75" customHeight="1">
      <c r="A14" s="41">
        <v>6</v>
      </c>
      <c r="B14" s="46">
        <v>46034</v>
      </c>
      <c r="C14" s="42" t="s">
        <v>822</v>
      </c>
      <c r="D14" s="42" t="s">
        <v>823</v>
      </c>
      <c r="E14" s="43"/>
      <c r="F14" s="44"/>
      <c r="G14" s="43">
        <v>450</v>
      </c>
      <c r="H14" s="44"/>
      <c r="I14" s="43"/>
      <c r="J14" s="45"/>
    </row>
    <row r="15" spans="1:52" ht="12.75" customHeight="1">
      <c r="A15" s="41">
        <v>7</v>
      </c>
      <c r="B15" s="46">
        <v>46034</v>
      </c>
      <c r="C15" s="42" t="s">
        <v>824</v>
      </c>
      <c r="D15" s="42" t="s">
        <v>825</v>
      </c>
      <c r="E15" s="43"/>
      <c r="F15" s="44"/>
      <c r="G15" s="43">
        <v>400</v>
      </c>
      <c r="H15" s="44"/>
      <c r="I15" s="43"/>
      <c r="J15" s="45"/>
    </row>
    <row r="16" spans="1:52">
      <c r="A16" s="41">
        <v>8</v>
      </c>
      <c r="B16" s="46">
        <v>46034</v>
      </c>
      <c r="C16" s="42" t="s">
        <v>826</v>
      </c>
      <c r="D16" s="42" t="s">
        <v>827</v>
      </c>
      <c r="E16" s="43"/>
      <c r="F16" s="44"/>
      <c r="G16" s="43">
        <v>125.68</v>
      </c>
      <c r="H16" s="44"/>
      <c r="I16" s="43"/>
      <c r="J16" s="45"/>
    </row>
    <row r="17" spans="1:10">
      <c r="A17" s="41">
        <v>9</v>
      </c>
      <c r="B17" s="46">
        <v>46034</v>
      </c>
      <c r="C17" s="42" t="s">
        <v>828</v>
      </c>
      <c r="D17" s="42" t="s">
        <v>829</v>
      </c>
      <c r="E17" s="43"/>
      <c r="F17" s="44"/>
      <c r="G17" s="43">
        <v>350</v>
      </c>
      <c r="H17" s="44"/>
      <c r="I17" s="43"/>
      <c r="J17" s="45"/>
    </row>
    <row r="18" spans="1:10">
      <c r="A18" s="41">
        <v>10</v>
      </c>
      <c r="B18" s="46">
        <v>46034</v>
      </c>
      <c r="C18" s="42" t="s">
        <v>830</v>
      </c>
      <c r="D18" s="42" t="s">
        <v>831</v>
      </c>
      <c r="E18" s="43"/>
      <c r="F18" s="44"/>
      <c r="G18" s="43">
        <v>2000</v>
      </c>
      <c r="H18" s="44"/>
      <c r="I18" s="43"/>
      <c r="J18" s="45"/>
    </row>
    <row r="19" spans="1:10">
      <c r="A19" s="41">
        <v>11</v>
      </c>
      <c r="B19" s="46">
        <v>46034</v>
      </c>
      <c r="C19" s="42" t="s">
        <v>832</v>
      </c>
      <c r="D19" s="42" t="s">
        <v>833</v>
      </c>
      <c r="E19" s="43"/>
      <c r="F19" s="44"/>
      <c r="G19" s="43">
        <v>1000</v>
      </c>
      <c r="H19" s="44"/>
      <c r="I19" s="43"/>
      <c r="J19" s="45"/>
    </row>
    <row r="20" spans="1:10">
      <c r="A20" s="41">
        <v>12</v>
      </c>
      <c r="B20" s="46">
        <v>46034</v>
      </c>
      <c r="C20" s="42" t="s">
        <v>834</v>
      </c>
      <c r="D20" s="42" t="s">
        <v>835</v>
      </c>
      <c r="E20" s="43"/>
      <c r="F20" s="44"/>
      <c r="G20" s="43">
        <v>383.35</v>
      </c>
      <c r="H20" s="44"/>
      <c r="I20" s="43"/>
      <c r="J20" s="45"/>
    </row>
    <row r="21" spans="1:10">
      <c r="A21" s="41">
        <v>13</v>
      </c>
      <c r="B21" s="46">
        <v>46034</v>
      </c>
      <c r="C21" s="42" t="s">
        <v>836</v>
      </c>
      <c r="D21" s="42" t="s">
        <v>837</v>
      </c>
      <c r="E21" s="43"/>
      <c r="F21" s="44"/>
      <c r="G21" s="43">
        <v>50</v>
      </c>
      <c r="H21" s="44"/>
      <c r="I21" s="43"/>
      <c r="J21" s="45"/>
    </row>
    <row r="22" spans="1:10">
      <c r="A22" s="41">
        <v>14</v>
      </c>
      <c r="B22" s="46">
        <v>46034</v>
      </c>
      <c r="C22" s="42" t="s">
        <v>838</v>
      </c>
      <c r="D22" s="42" t="s">
        <v>839</v>
      </c>
      <c r="E22" s="43"/>
      <c r="F22" s="44"/>
      <c r="G22" s="43">
        <v>1000</v>
      </c>
      <c r="H22" s="44"/>
      <c r="I22" s="43"/>
      <c r="J22" s="45"/>
    </row>
    <row r="23" spans="1:10">
      <c r="A23" s="41">
        <v>15</v>
      </c>
      <c r="B23" s="46">
        <v>46034</v>
      </c>
      <c r="C23" s="42" t="s">
        <v>840</v>
      </c>
      <c r="D23" s="42" t="s">
        <v>237</v>
      </c>
      <c r="E23" s="43"/>
      <c r="F23" s="44"/>
      <c r="G23" s="43">
        <v>4967</v>
      </c>
      <c r="H23" s="44"/>
      <c r="I23" s="43"/>
      <c r="J23" s="45"/>
    </row>
    <row r="24" spans="1:10">
      <c r="A24" s="41">
        <v>16</v>
      </c>
      <c r="B24" s="46">
        <v>46034</v>
      </c>
      <c r="C24" s="42" t="s">
        <v>841</v>
      </c>
      <c r="D24" s="42" t="s">
        <v>842</v>
      </c>
      <c r="E24" s="43"/>
      <c r="F24" s="44"/>
      <c r="G24" s="43">
        <v>2500</v>
      </c>
      <c r="H24" s="44"/>
      <c r="I24" s="43"/>
      <c r="J24" s="45"/>
    </row>
    <row r="25" spans="1:10">
      <c r="A25" s="41">
        <v>17</v>
      </c>
      <c r="B25" s="46">
        <v>46034</v>
      </c>
      <c r="C25" s="42" t="s">
        <v>843</v>
      </c>
      <c r="D25" s="42" t="s">
        <v>844</v>
      </c>
      <c r="E25" s="43"/>
      <c r="F25" s="44"/>
      <c r="G25" s="43">
        <v>2500</v>
      </c>
      <c r="H25" s="44"/>
      <c r="I25" s="43"/>
      <c r="J25" s="45"/>
    </row>
    <row r="26" spans="1:10">
      <c r="A26" s="41">
        <v>18</v>
      </c>
      <c r="B26" s="46">
        <v>46034</v>
      </c>
      <c r="C26" s="42" t="s">
        <v>845</v>
      </c>
      <c r="D26" s="42" t="s">
        <v>846</v>
      </c>
      <c r="E26" s="43"/>
      <c r="F26" s="44"/>
      <c r="G26" s="43">
        <v>2500</v>
      </c>
      <c r="H26" s="44"/>
      <c r="I26" s="43"/>
      <c r="J26" s="45"/>
    </row>
    <row r="27" spans="1:10">
      <c r="A27" s="41">
        <v>19</v>
      </c>
      <c r="B27" s="46">
        <v>46034</v>
      </c>
      <c r="C27" s="42" t="s">
        <v>847</v>
      </c>
      <c r="D27" s="42" t="s">
        <v>848</v>
      </c>
      <c r="E27" s="43"/>
      <c r="F27" s="44"/>
      <c r="G27" s="43">
        <v>5000</v>
      </c>
      <c r="H27" s="44"/>
      <c r="I27" s="43"/>
      <c r="J27" s="45"/>
    </row>
    <row r="28" spans="1:10">
      <c r="A28" s="41">
        <v>20</v>
      </c>
      <c r="B28" s="46">
        <v>46034</v>
      </c>
      <c r="C28" s="42" t="s">
        <v>849</v>
      </c>
      <c r="D28" s="42" t="s">
        <v>850</v>
      </c>
      <c r="E28" s="43"/>
      <c r="F28" s="44"/>
      <c r="G28" s="43">
        <v>250</v>
      </c>
      <c r="H28" s="44"/>
      <c r="I28" s="43"/>
      <c r="J28" s="45"/>
    </row>
    <row r="29" spans="1:10">
      <c r="A29" s="41">
        <v>21</v>
      </c>
      <c r="B29" s="46">
        <v>46034</v>
      </c>
      <c r="C29" s="42" t="s">
        <v>851</v>
      </c>
      <c r="D29" s="42" t="s">
        <v>852</v>
      </c>
      <c r="E29" s="43"/>
      <c r="F29" s="44"/>
      <c r="G29" s="43">
        <v>2200</v>
      </c>
      <c r="H29" s="44"/>
      <c r="I29" s="43"/>
      <c r="J29" s="45"/>
    </row>
    <row r="30" spans="1:10">
      <c r="A30" s="41">
        <v>22</v>
      </c>
      <c r="B30" s="46">
        <v>46034</v>
      </c>
      <c r="C30" s="42" t="s">
        <v>853</v>
      </c>
      <c r="D30" s="42" t="s">
        <v>854</v>
      </c>
      <c r="E30" s="43"/>
      <c r="F30" s="44"/>
      <c r="G30" s="43">
        <v>320.97000000000003</v>
      </c>
      <c r="H30" s="44"/>
      <c r="I30" s="43"/>
      <c r="J30" s="45"/>
    </row>
    <row r="31" spans="1:10">
      <c r="A31" s="41">
        <v>23</v>
      </c>
      <c r="B31" s="46">
        <v>46034</v>
      </c>
      <c r="C31" s="42" t="s">
        <v>855</v>
      </c>
      <c r="D31" s="42" t="s">
        <v>856</v>
      </c>
      <c r="E31" s="43"/>
      <c r="F31" s="44"/>
      <c r="G31" s="43">
        <v>2900</v>
      </c>
      <c r="H31" s="44"/>
      <c r="I31" s="43"/>
      <c r="J31" s="45"/>
    </row>
    <row r="32" spans="1:10" s="9" customFormat="1" ht="12.45">
      <c r="A32" s="41">
        <v>24</v>
      </c>
      <c r="B32" s="46">
        <v>46034</v>
      </c>
      <c r="C32" s="42" t="s">
        <v>857</v>
      </c>
      <c r="D32" s="42" t="s">
        <v>858</v>
      </c>
      <c r="E32" s="43"/>
      <c r="F32" s="44"/>
      <c r="G32" s="43">
        <v>2500</v>
      </c>
      <c r="H32" s="44"/>
      <c r="I32" s="43"/>
      <c r="J32" s="45"/>
    </row>
    <row r="33" spans="1:10">
      <c r="A33" s="41">
        <v>25</v>
      </c>
      <c r="B33" s="46">
        <v>46034</v>
      </c>
      <c r="C33" s="42" t="s">
        <v>859</v>
      </c>
      <c r="D33" s="42" t="s">
        <v>860</v>
      </c>
      <c r="E33" s="43"/>
      <c r="F33" s="44"/>
      <c r="G33" s="43">
        <v>1500</v>
      </c>
      <c r="H33" s="44"/>
      <c r="I33" s="43"/>
      <c r="J33" s="45"/>
    </row>
    <row r="34" spans="1:10">
      <c r="A34" s="41">
        <v>26</v>
      </c>
      <c r="B34" s="46">
        <v>46034</v>
      </c>
      <c r="C34" s="42" t="s">
        <v>861</v>
      </c>
      <c r="D34" s="42" t="s">
        <v>862</v>
      </c>
      <c r="E34" s="43"/>
      <c r="F34" s="44"/>
      <c r="G34" s="43">
        <v>78.5</v>
      </c>
      <c r="H34" s="44"/>
      <c r="I34" s="43"/>
      <c r="J34" s="45"/>
    </row>
    <row r="35" spans="1:10">
      <c r="A35" s="41">
        <v>27</v>
      </c>
      <c r="B35" s="46">
        <v>46034</v>
      </c>
      <c r="C35" s="42" t="s">
        <v>863</v>
      </c>
      <c r="D35" s="42" t="s">
        <v>864</v>
      </c>
      <c r="E35" s="43"/>
      <c r="F35" s="44"/>
      <c r="G35" s="43">
        <v>2500</v>
      </c>
      <c r="H35" s="44"/>
      <c r="I35" s="43"/>
      <c r="J35" s="45"/>
    </row>
    <row r="36" spans="1:10">
      <c r="A36" s="41">
        <v>28</v>
      </c>
      <c r="B36" s="46">
        <v>46034</v>
      </c>
      <c r="C36" s="42" t="s">
        <v>865</v>
      </c>
      <c r="D36" s="42" t="s">
        <v>866</v>
      </c>
      <c r="E36" s="43"/>
      <c r="F36" s="44"/>
      <c r="G36" s="43">
        <v>5683.32</v>
      </c>
      <c r="H36" s="44"/>
      <c r="I36" s="43"/>
      <c r="J36" s="45"/>
    </row>
    <row r="37" spans="1:10">
      <c r="A37" s="41">
        <v>29</v>
      </c>
      <c r="B37" s="46">
        <v>46034</v>
      </c>
      <c r="C37" s="42" t="s">
        <v>867</v>
      </c>
      <c r="D37" s="42" t="s">
        <v>868</v>
      </c>
      <c r="E37" s="43"/>
      <c r="F37" s="44"/>
      <c r="G37" s="43">
        <v>500</v>
      </c>
      <c r="H37" s="44"/>
      <c r="I37" s="43"/>
      <c r="J37" s="45"/>
    </row>
    <row r="38" spans="1:10">
      <c r="A38" s="41">
        <v>30</v>
      </c>
      <c r="B38" s="46">
        <v>46034</v>
      </c>
      <c r="C38" s="42" t="s">
        <v>869</v>
      </c>
      <c r="D38" s="42" t="s">
        <v>862</v>
      </c>
      <c r="E38" s="43"/>
      <c r="F38" s="44"/>
      <c r="G38" s="43">
        <v>157.51</v>
      </c>
      <c r="H38" s="44"/>
      <c r="I38" s="43"/>
      <c r="J38" s="45"/>
    </row>
    <row r="39" spans="1:10">
      <c r="A39" s="41">
        <v>31</v>
      </c>
      <c r="B39" s="46">
        <v>46034</v>
      </c>
      <c r="C39" s="42" t="s">
        <v>870</v>
      </c>
      <c r="D39" s="42" t="s">
        <v>871</v>
      </c>
      <c r="E39" s="43"/>
      <c r="F39" s="44"/>
      <c r="G39" s="43">
        <v>200</v>
      </c>
      <c r="H39" s="44"/>
      <c r="I39" s="43"/>
      <c r="J39" s="45"/>
    </row>
    <row r="40" spans="1:10">
      <c r="A40" s="41">
        <v>32</v>
      </c>
      <c r="B40" s="46">
        <v>46034</v>
      </c>
      <c r="C40" s="42" t="s">
        <v>872</v>
      </c>
      <c r="D40" s="42" t="s">
        <v>873</v>
      </c>
      <c r="E40" s="43"/>
      <c r="F40" s="44"/>
      <c r="G40" s="43">
        <v>2500</v>
      </c>
      <c r="H40" s="44"/>
      <c r="I40" s="43"/>
      <c r="J40" s="45"/>
    </row>
    <row r="41" spans="1:10">
      <c r="A41" s="41">
        <v>33</v>
      </c>
      <c r="B41" s="46">
        <v>46034</v>
      </c>
      <c r="C41" s="42" t="s">
        <v>874</v>
      </c>
      <c r="D41" s="42" t="s">
        <v>469</v>
      </c>
      <c r="E41" s="43"/>
      <c r="F41" s="44"/>
      <c r="G41" s="43">
        <v>100</v>
      </c>
      <c r="H41" s="44"/>
      <c r="I41" s="43"/>
      <c r="J41" s="45"/>
    </row>
    <row r="42" spans="1:10">
      <c r="A42" s="41">
        <v>34</v>
      </c>
      <c r="B42" s="46">
        <v>46034</v>
      </c>
      <c r="C42" s="42" t="s">
        <v>875</v>
      </c>
      <c r="D42" s="42" t="s">
        <v>876</v>
      </c>
      <c r="E42" s="43"/>
      <c r="F42" s="44"/>
      <c r="G42" s="43">
        <v>400</v>
      </c>
      <c r="H42" s="44"/>
      <c r="I42" s="43"/>
      <c r="J42" s="45"/>
    </row>
    <row r="43" spans="1:10">
      <c r="A43" s="41">
        <v>35</v>
      </c>
      <c r="B43" s="46">
        <v>46034</v>
      </c>
      <c r="C43" s="42" t="s">
        <v>877</v>
      </c>
      <c r="D43" s="42" t="s">
        <v>878</v>
      </c>
      <c r="E43" s="43"/>
      <c r="F43" s="44"/>
      <c r="G43" s="43">
        <v>572.55999999999995</v>
      </c>
      <c r="H43" s="44"/>
      <c r="I43" s="43"/>
      <c r="J43" s="45"/>
    </row>
    <row r="44" spans="1:10">
      <c r="A44" s="41">
        <v>36</v>
      </c>
      <c r="B44" s="46">
        <v>46034</v>
      </c>
      <c r="C44" s="42" t="s">
        <v>879</v>
      </c>
      <c r="D44" s="42" t="s">
        <v>880</v>
      </c>
      <c r="E44" s="43"/>
      <c r="F44" s="44"/>
      <c r="G44" s="43">
        <v>669.13</v>
      </c>
      <c r="H44" s="44"/>
      <c r="I44" s="43"/>
      <c r="J44" s="45"/>
    </row>
    <row r="45" spans="1:10">
      <c r="A45" s="41">
        <v>37</v>
      </c>
      <c r="B45" s="46">
        <v>46034</v>
      </c>
      <c r="C45" s="42" t="s">
        <v>881</v>
      </c>
      <c r="D45" s="42" t="s">
        <v>882</v>
      </c>
      <c r="E45" s="43"/>
      <c r="F45" s="44"/>
      <c r="G45" s="43">
        <v>500</v>
      </c>
      <c r="H45" s="44"/>
      <c r="I45" s="43"/>
      <c r="J45" s="45"/>
    </row>
    <row r="46" spans="1:10">
      <c r="A46" s="41">
        <v>38</v>
      </c>
      <c r="B46" s="46">
        <v>46034</v>
      </c>
      <c r="C46" s="42" t="s">
        <v>883</v>
      </c>
      <c r="D46" s="42" t="s">
        <v>884</v>
      </c>
      <c r="E46" s="43"/>
      <c r="F46" s="44"/>
      <c r="G46" s="43">
        <v>300</v>
      </c>
      <c r="H46" s="44"/>
      <c r="I46" s="43"/>
      <c r="J46" s="45"/>
    </row>
    <row r="47" spans="1:10">
      <c r="A47" s="41">
        <v>39</v>
      </c>
      <c r="B47" s="46">
        <v>46034</v>
      </c>
      <c r="C47" s="42" t="s">
        <v>885</v>
      </c>
      <c r="D47" s="42" t="s">
        <v>886</v>
      </c>
      <c r="E47" s="43"/>
      <c r="F47" s="44"/>
      <c r="G47" s="43">
        <v>17.059999999999999</v>
      </c>
      <c r="H47" s="44"/>
      <c r="I47" s="43"/>
      <c r="J47" s="45"/>
    </row>
    <row r="48" spans="1:10">
      <c r="A48" s="41">
        <v>40</v>
      </c>
      <c r="B48" s="46">
        <v>46034</v>
      </c>
      <c r="C48" s="42" t="s">
        <v>887</v>
      </c>
      <c r="D48" s="42" t="s">
        <v>888</v>
      </c>
      <c r="E48" s="43"/>
      <c r="F48" s="44"/>
      <c r="G48" s="43">
        <v>26.76</v>
      </c>
      <c r="H48" s="44"/>
      <c r="I48" s="43"/>
      <c r="J48" s="45"/>
    </row>
    <row r="49" spans="1:10">
      <c r="A49" s="41">
        <v>41</v>
      </c>
      <c r="B49" s="46">
        <v>46034</v>
      </c>
      <c r="C49" s="42" t="s">
        <v>889</v>
      </c>
      <c r="D49" s="42" t="s">
        <v>890</v>
      </c>
      <c r="E49" s="43"/>
      <c r="F49" s="44"/>
      <c r="G49" s="43">
        <v>1500</v>
      </c>
      <c r="H49" s="44"/>
      <c r="I49" s="43"/>
      <c r="J49" s="45"/>
    </row>
    <row r="50" spans="1:10">
      <c r="A50" s="41">
        <v>42</v>
      </c>
      <c r="B50" s="46">
        <v>46034</v>
      </c>
      <c r="C50" s="42" t="s">
        <v>891</v>
      </c>
      <c r="D50" s="42" t="s">
        <v>892</v>
      </c>
      <c r="E50" s="43"/>
      <c r="F50" s="44"/>
      <c r="G50" s="43">
        <v>150</v>
      </c>
      <c r="H50" s="44"/>
      <c r="I50" s="43"/>
      <c r="J50" s="45"/>
    </row>
    <row r="51" spans="1:10">
      <c r="A51" s="41">
        <v>43</v>
      </c>
      <c r="B51" s="46">
        <v>46034</v>
      </c>
      <c r="C51" s="42" t="s">
        <v>893</v>
      </c>
      <c r="D51" s="42" t="s">
        <v>805</v>
      </c>
      <c r="E51" s="43"/>
      <c r="F51" s="44"/>
      <c r="G51" s="43">
        <v>1050</v>
      </c>
      <c r="H51" s="44"/>
      <c r="I51" s="43"/>
      <c r="J51" s="45"/>
    </row>
    <row r="52" spans="1:10">
      <c r="A52" s="41">
        <v>44</v>
      </c>
      <c r="B52" s="46">
        <v>46034</v>
      </c>
      <c r="C52" s="42" t="s">
        <v>894</v>
      </c>
      <c r="D52" s="42" t="s">
        <v>895</v>
      </c>
      <c r="E52" s="43"/>
      <c r="F52" s="44"/>
      <c r="G52" s="43">
        <v>400</v>
      </c>
      <c r="H52" s="44"/>
      <c r="I52" s="43"/>
      <c r="J52" s="45"/>
    </row>
    <row r="53" spans="1:10">
      <c r="A53" s="41">
        <v>45</v>
      </c>
      <c r="B53" s="46">
        <v>46034</v>
      </c>
      <c r="C53" s="42" t="s">
        <v>896</v>
      </c>
      <c r="D53" s="42" t="s">
        <v>153</v>
      </c>
      <c r="E53" s="43"/>
      <c r="F53" s="44"/>
      <c r="G53" s="43">
        <v>80</v>
      </c>
      <c r="H53" s="44"/>
      <c r="I53" s="43"/>
      <c r="J53" s="45"/>
    </row>
    <row r="54" spans="1:10">
      <c r="A54" s="41">
        <v>46</v>
      </c>
      <c r="B54" s="46">
        <v>46034</v>
      </c>
      <c r="C54" s="42" t="s">
        <v>897</v>
      </c>
      <c r="D54" s="42" t="s">
        <v>898</v>
      </c>
      <c r="E54" s="43"/>
      <c r="F54" s="44"/>
      <c r="G54" s="43">
        <v>662.86</v>
      </c>
      <c r="H54" s="44"/>
      <c r="I54" s="43"/>
      <c r="J54" s="45"/>
    </row>
    <row r="55" spans="1:10">
      <c r="A55" s="41">
        <v>47</v>
      </c>
      <c r="B55" s="46">
        <v>46034</v>
      </c>
      <c r="C55" s="42" t="s">
        <v>899</v>
      </c>
      <c r="D55" s="42" t="s">
        <v>900</v>
      </c>
      <c r="E55" s="43"/>
      <c r="F55" s="44"/>
      <c r="G55" s="43">
        <v>800</v>
      </c>
      <c r="H55" s="44"/>
      <c r="I55" s="43"/>
      <c r="J55" s="45"/>
    </row>
    <row r="56" spans="1:10">
      <c r="A56" s="41">
        <v>48</v>
      </c>
      <c r="B56" s="46">
        <v>46034</v>
      </c>
      <c r="C56" s="42" t="s">
        <v>901</v>
      </c>
      <c r="D56" s="42" t="s">
        <v>902</v>
      </c>
      <c r="E56" s="43"/>
      <c r="F56" s="44"/>
      <c r="G56" s="43">
        <v>500</v>
      </c>
      <c r="H56" s="44"/>
      <c r="I56" s="43"/>
      <c r="J56" s="45"/>
    </row>
    <row r="57" spans="1:10">
      <c r="A57" s="41">
        <v>49</v>
      </c>
      <c r="B57" s="46">
        <v>46034</v>
      </c>
      <c r="C57" s="42" t="s">
        <v>903</v>
      </c>
      <c r="D57" s="42" t="s">
        <v>179</v>
      </c>
      <c r="E57" s="43"/>
      <c r="F57" s="44"/>
      <c r="G57" s="43">
        <v>200</v>
      </c>
      <c r="H57" s="44"/>
      <c r="I57" s="43"/>
      <c r="J57" s="45"/>
    </row>
    <row r="58" spans="1:10">
      <c r="A58" s="41">
        <v>50</v>
      </c>
      <c r="B58" s="46">
        <v>46034</v>
      </c>
      <c r="C58" s="42" t="s">
        <v>904</v>
      </c>
      <c r="D58" s="42" t="s">
        <v>34</v>
      </c>
      <c r="E58" s="43"/>
      <c r="F58" s="44"/>
      <c r="G58" s="43">
        <v>122.17</v>
      </c>
      <c r="H58" s="44"/>
      <c r="I58" s="43"/>
      <c r="J58" s="45"/>
    </row>
    <row r="59" spans="1:10">
      <c r="A59" s="41">
        <v>51</v>
      </c>
      <c r="B59" s="46">
        <v>46034</v>
      </c>
      <c r="C59" s="42" t="s">
        <v>905</v>
      </c>
      <c r="D59" s="42" t="s">
        <v>906</v>
      </c>
      <c r="E59" s="43"/>
      <c r="F59" s="44"/>
      <c r="G59" s="43"/>
      <c r="H59" s="44">
        <v>5000000</v>
      </c>
      <c r="I59" s="43"/>
      <c r="J59" s="45"/>
    </row>
    <row r="60" spans="1:10" s="9" customFormat="1" thickBot="1">
      <c r="A60" s="47"/>
      <c r="B60" s="48"/>
      <c r="C60" s="48"/>
      <c r="D60" s="48" t="s">
        <v>4</v>
      </c>
      <c r="E60" s="50"/>
      <c r="F60" s="49">
        <f>F8</f>
        <v>53966</v>
      </c>
      <c r="G60" s="50">
        <v>55618.879999999997</v>
      </c>
      <c r="H60" s="49">
        <v>5000000</v>
      </c>
      <c r="I60" s="50">
        <v>34077.360000000001</v>
      </c>
      <c r="J60" s="51">
        <f>J7+F60-H60</f>
        <v>295155122</v>
      </c>
    </row>
    <row r="62" spans="1:10">
      <c r="H62" s="10" t="s">
        <v>14</v>
      </c>
    </row>
    <row r="63" spans="1:10">
      <c r="H63" s="11" t="s">
        <v>15</v>
      </c>
    </row>
    <row r="176" spans="52:52">
      <c r="AZ176" s="1" t="s">
        <v>5</v>
      </c>
    </row>
  </sheetData>
  <mergeCells count="9">
    <mergeCell ref="A1:E2"/>
    <mergeCell ref="A3:J4"/>
    <mergeCell ref="A5:A6"/>
    <mergeCell ref="B5:B6"/>
    <mergeCell ref="C5:C6"/>
    <mergeCell ref="D5:D6"/>
    <mergeCell ref="E5:F5"/>
    <mergeCell ref="G5:H5"/>
    <mergeCell ref="I5:J5"/>
  </mergeCells>
  <pageMargins left="0.5" right="0" top="0.5" bottom="0.5" header="0" footer="0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D027F-E953-466A-9053-E35052FD0805}">
  <dimension ref="A1:AZ158"/>
  <sheetViews>
    <sheetView topLeftCell="E15" zoomScale="85" zoomScaleNormal="85" workbookViewId="0">
      <selection activeCell="J43" sqref="J43"/>
    </sheetView>
  </sheetViews>
  <sheetFormatPr defaultColWidth="9.15234375" defaultRowHeight="12.9"/>
  <cols>
    <col min="1" max="1" width="4.23046875" style="1" bestFit="1" customWidth="1"/>
    <col min="2" max="2" width="6.84375" style="1" bestFit="1" customWidth="1"/>
    <col min="3" max="3" width="10.23046875" style="6" bestFit="1" customWidth="1"/>
    <col min="4" max="4" width="27.3046875" style="1" bestFit="1" customWidth="1"/>
    <col min="5" max="5" width="8.4609375" style="7" bestFit="1" customWidth="1"/>
    <col min="6" max="6" width="9.53515625" style="1" customWidth="1"/>
    <col min="7" max="7" width="8.84375" style="1" bestFit="1" customWidth="1"/>
    <col min="8" max="8" width="4.23046875" style="1" bestFit="1" customWidth="1"/>
    <col min="9" max="9" width="8.84375" style="1" bestFit="1" customWidth="1"/>
    <col min="10" max="10" width="10.61328125" style="1" bestFit="1" customWidth="1"/>
    <col min="11" max="16384" width="9.15234375" style="1"/>
  </cols>
  <sheetData>
    <row r="1" spans="1:52" ht="28.3" customHeight="1">
      <c r="A1" s="79" t="s">
        <v>17</v>
      </c>
      <c r="B1" s="80"/>
      <c r="C1" s="80"/>
      <c r="D1" s="80"/>
      <c r="E1" s="80"/>
    </row>
    <row r="2" spans="1:52" ht="28.3" customHeight="1">
      <c r="A2" s="80"/>
      <c r="B2" s="80"/>
      <c r="C2" s="80"/>
      <c r="D2" s="80"/>
      <c r="E2" s="80"/>
    </row>
    <row r="3" spans="1:52">
      <c r="A3" s="81" t="s">
        <v>11</v>
      </c>
      <c r="B3" s="81"/>
      <c r="C3" s="81"/>
      <c r="D3" s="81"/>
      <c r="E3" s="81"/>
      <c r="F3" s="81"/>
      <c r="G3" s="81"/>
      <c r="H3" s="81"/>
      <c r="I3" s="81"/>
      <c r="J3" s="81"/>
      <c r="AS3" s="2">
        <v>43921</v>
      </c>
      <c r="AZ3" s="1">
        <f>(AQ3-4)*20000</f>
        <v>-80000</v>
      </c>
    </row>
    <row r="4" spans="1:52" ht="13.3" thickBot="1">
      <c r="A4" s="81"/>
      <c r="B4" s="81"/>
      <c r="C4" s="81"/>
      <c r="D4" s="81"/>
      <c r="E4" s="81"/>
      <c r="F4" s="81"/>
      <c r="G4" s="81"/>
      <c r="H4" s="81"/>
      <c r="I4" s="81"/>
      <c r="J4" s="81"/>
    </row>
    <row r="5" spans="1:52">
      <c r="A5" s="82" t="s">
        <v>0</v>
      </c>
      <c r="B5" s="84" t="s">
        <v>9</v>
      </c>
      <c r="C5" s="86" t="s">
        <v>1</v>
      </c>
      <c r="D5" s="84" t="s">
        <v>10</v>
      </c>
      <c r="E5" s="88" t="s">
        <v>13</v>
      </c>
      <c r="F5" s="88"/>
      <c r="G5" s="88" t="s">
        <v>8</v>
      </c>
      <c r="H5" s="88"/>
      <c r="I5" s="88" t="s">
        <v>7</v>
      </c>
      <c r="J5" s="89"/>
    </row>
    <row r="6" spans="1:52">
      <c r="A6" s="83"/>
      <c r="B6" s="85"/>
      <c r="C6" s="87"/>
      <c r="D6" s="85"/>
      <c r="E6" s="38" t="s">
        <v>2</v>
      </c>
      <c r="F6" s="39" t="s">
        <v>6</v>
      </c>
      <c r="G6" s="39" t="s">
        <v>2</v>
      </c>
      <c r="H6" s="39" t="s">
        <v>6</v>
      </c>
      <c r="I6" s="39" t="s">
        <v>2</v>
      </c>
      <c r="J6" s="40" t="s">
        <v>6</v>
      </c>
    </row>
    <row r="7" spans="1:52">
      <c r="A7" s="41"/>
      <c r="B7" s="42"/>
      <c r="C7" s="42"/>
      <c r="D7" s="42" t="s">
        <v>12</v>
      </c>
      <c r="E7" s="43"/>
      <c r="F7" s="44"/>
      <c r="G7" s="43"/>
      <c r="H7" s="44"/>
      <c r="I7" s="43">
        <v>34077.360000000001</v>
      </c>
      <c r="J7" s="45">
        <v>295155122</v>
      </c>
    </row>
    <row r="8" spans="1:52">
      <c r="A8" s="41"/>
      <c r="B8" s="42"/>
      <c r="C8" s="42"/>
      <c r="D8" s="42" t="s">
        <v>16</v>
      </c>
      <c r="E8" s="43">
        <v>55618</v>
      </c>
      <c r="F8" s="44">
        <f>5000000+21296</f>
        <v>5021296</v>
      </c>
      <c r="G8" s="43"/>
      <c r="H8" s="44"/>
      <c r="I8" s="43"/>
      <c r="J8" s="45"/>
    </row>
    <row r="9" spans="1:52">
      <c r="A9" s="41">
        <v>1</v>
      </c>
      <c r="B9" s="46">
        <v>46035</v>
      </c>
      <c r="C9" s="42" t="s">
        <v>907</v>
      </c>
      <c r="D9" s="42" t="s">
        <v>908</v>
      </c>
      <c r="E9" s="43"/>
      <c r="F9" s="44"/>
      <c r="G9" s="43">
        <v>150</v>
      </c>
      <c r="H9" s="44"/>
      <c r="I9" s="43"/>
      <c r="J9" s="45"/>
    </row>
    <row r="10" spans="1:52">
      <c r="A10" s="41">
        <v>2</v>
      </c>
      <c r="B10" s="46">
        <v>46035</v>
      </c>
      <c r="C10" s="42" t="s">
        <v>909</v>
      </c>
      <c r="D10" s="42" t="s">
        <v>910</v>
      </c>
      <c r="E10" s="43"/>
      <c r="F10" s="44"/>
      <c r="G10" s="43">
        <v>70</v>
      </c>
      <c r="H10" s="44"/>
      <c r="I10" s="43"/>
      <c r="J10" s="45"/>
      <c r="AX10" s="5" t="s">
        <v>3</v>
      </c>
    </row>
    <row r="11" spans="1:52">
      <c r="A11" s="41">
        <v>3</v>
      </c>
      <c r="B11" s="46">
        <v>46035</v>
      </c>
      <c r="C11" s="42" t="s">
        <v>911</v>
      </c>
      <c r="D11" s="42" t="s">
        <v>912</v>
      </c>
      <c r="E11" s="43"/>
      <c r="F11" s="44"/>
      <c r="G11" s="43">
        <v>400</v>
      </c>
      <c r="H11" s="44"/>
      <c r="I11" s="43"/>
      <c r="J11" s="45"/>
    </row>
    <row r="12" spans="1:52">
      <c r="A12" s="41">
        <v>4</v>
      </c>
      <c r="B12" s="46">
        <v>46035</v>
      </c>
      <c r="C12" s="42" t="s">
        <v>913</v>
      </c>
      <c r="D12" s="42" t="s">
        <v>914</v>
      </c>
      <c r="E12" s="43"/>
      <c r="F12" s="44"/>
      <c r="G12" s="43">
        <v>225.35</v>
      </c>
      <c r="H12" s="44"/>
      <c r="I12" s="43"/>
      <c r="J12" s="45"/>
    </row>
    <row r="13" spans="1:52">
      <c r="A13" s="41">
        <v>5</v>
      </c>
      <c r="B13" s="46">
        <v>46035</v>
      </c>
      <c r="C13" s="42" t="s">
        <v>915</v>
      </c>
      <c r="D13" s="42" t="s">
        <v>916</v>
      </c>
      <c r="E13" s="43"/>
      <c r="F13" s="44"/>
      <c r="G13" s="43">
        <v>400</v>
      </c>
      <c r="H13" s="44"/>
      <c r="I13" s="43"/>
      <c r="J13" s="45"/>
    </row>
    <row r="14" spans="1:52">
      <c r="A14" s="41">
        <v>6</v>
      </c>
      <c r="B14" s="46">
        <v>46035</v>
      </c>
      <c r="C14" s="42" t="s">
        <v>917</v>
      </c>
      <c r="D14" s="42" t="s">
        <v>357</v>
      </c>
      <c r="E14" s="43"/>
      <c r="F14" s="44"/>
      <c r="G14" s="43">
        <v>237.74</v>
      </c>
      <c r="H14" s="44"/>
      <c r="I14" s="43"/>
      <c r="J14" s="45"/>
    </row>
    <row r="15" spans="1:52">
      <c r="A15" s="41">
        <v>7</v>
      </c>
      <c r="B15" s="46">
        <v>46035</v>
      </c>
      <c r="C15" s="42" t="s">
        <v>918</v>
      </c>
      <c r="D15" s="42" t="s">
        <v>357</v>
      </c>
      <c r="E15" s="43"/>
      <c r="F15" s="44"/>
      <c r="G15" s="43">
        <v>500</v>
      </c>
      <c r="H15" s="44"/>
      <c r="I15" s="43"/>
      <c r="J15" s="45"/>
    </row>
    <row r="16" spans="1:52">
      <c r="A16" s="41">
        <v>8</v>
      </c>
      <c r="B16" s="46">
        <v>46035</v>
      </c>
      <c r="C16" s="42" t="s">
        <v>919</v>
      </c>
      <c r="D16" s="42" t="s">
        <v>920</v>
      </c>
      <c r="E16" s="43"/>
      <c r="F16" s="44"/>
      <c r="G16" s="43">
        <v>400</v>
      </c>
      <c r="H16" s="44"/>
      <c r="I16" s="43"/>
      <c r="J16" s="45"/>
    </row>
    <row r="17" spans="1:10">
      <c r="A17" s="41">
        <v>9</v>
      </c>
      <c r="B17" s="46">
        <v>46035</v>
      </c>
      <c r="C17" s="42" t="s">
        <v>921</v>
      </c>
      <c r="D17" s="42" t="s">
        <v>426</v>
      </c>
      <c r="E17" s="43"/>
      <c r="F17" s="44"/>
      <c r="G17" s="43">
        <v>250</v>
      </c>
      <c r="H17" s="44"/>
      <c r="I17" s="43"/>
      <c r="J17" s="45"/>
    </row>
    <row r="18" spans="1:10">
      <c r="A18" s="41">
        <v>10</v>
      </c>
      <c r="B18" s="46">
        <v>46035</v>
      </c>
      <c r="C18" s="42" t="s">
        <v>922</v>
      </c>
      <c r="D18" s="42" t="s">
        <v>90</v>
      </c>
      <c r="E18" s="43"/>
      <c r="F18" s="44"/>
      <c r="G18" s="43">
        <v>300</v>
      </c>
      <c r="H18" s="44"/>
      <c r="I18" s="43"/>
      <c r="J18" s="45"/>
    </row>
    <row r="19" spans="1:10">
      <c r="A19" s="41">
        <v>11</v>
      </c>
      <c r="B19" s="46">
        <v>46035</v>
      </c>
      <c r="C19" s="42" t="s">
        <v>923</v>
      </c>
      <c r="D19" s="42" t="s">
        <v>924</v>
      </c>
      <c r="E19" s="43"/>
      <c r="F19" s="44"/>
      <c r="G19" s="43">
        <v>1000</v>
      </c>
      <c r="H19" s="44"/>
      <c r="I19" s="43"/>
      <c r="J19" s="45"/>
    </row>
    <row r="20" spans="1:10">
      <c r="A20" s="41">
        <v>12</v>
      </c>
      <c r="B20" s="46">
        <v>46035</v>
      </c>
      <c r="C20" s="42" t="s">
        <v>925</v>
      </c>
      <c r="D20" s="42" t="s">
        <v>926</v>
      </c>
      <c r="E20" s="43"/>
      <c r="F20" s="44"/>
      <c r="G20" s="43">
        <v>1151.4100000000001</v>
      </c>
      <c r="H20" s="44"/>
      <c r="I20" s="43"/>
      <c r="J20" s="45"/>
    </row>
    <row r="21" spans="1:10">
      <c r="A21" s="41">
        <v>13</v>
      </c>
      <c r="B21" s="46">
        <v>46035</v>
      </c>
      <c r="C21" s="42" t="s">
        <v>927</v>
      </c>
      <c r="D21" s="42" t="s">
        <v>928</v>
      </c>
      <c r="E21" s="43"/>
      <c r="F21" s="44"/>
      <c r="G21" s="43">
        <v>1860</v>
      </c>
      <c r="H21" s="44"/>
      <c r="I21" s="43"/>
      <c r="J21" s="45"/>
    </row>
    <row r="22" spans="1:10">
      <c r="A22" s="41">
        <v>14</v>
      </c>
      <c r="B22" s="46">
        <v>46035</v>
      </c>
      <c r="C22" s="42" t="s">
        <v>929</v>
      </c>
      <c r="D22" s="42" t="s">
        <v>930</v>
      </c>
      <c r="E22" s="43"/>
      <c r="F22" s="44"/>
      <c r="G22" s="43">
        <v>500</v>
      </c>
      <c r="H22" s="44"/>
      <c r="I22" s="43"/>
      <c r="J22" s="45"/>
    </row>
    <row r="23" spans="1:10">
      <c r="A23" s="41">
        <v>15</v>
      </c>
      <c r="B23" s="46">
        <v>46035</v>
      </c>
      <c r="C23" s="42" t="s">
        <v>931</v>
      </c>
      <c r="D23" s="42" t="s">
        <v>932</v>
      </c>
      <c r="E23" s="43"/>
      <c r="F23" s="44"/>
      <c r="G23" s="43">
        <v>300</v>
      </c>
      <c r="H23" s="44"/>
      <c r="I23" s="43"/>
      <c r="J23" s="45"/>
    </row>
    <row r="24" spans="1:10">
      <c r="A24" s="41">
        <v>16</v>
      </c>
      <c r="B24" s="46">
        <v>46035</v>
      </c>
      <c r="C24" s="42" t="s">
        <v>933</v>
      </c>
      <c r="D24" s="42" t="s">
        <v>934</v>
      </c>
      <c r="E24" s="43"/>
      <c r="F24" s="44"/>
      <c r="G24" s="43">
        <v>2900</v>
      </c>
      <c r="H24" s="44"/>
      <c r="I24" s="43"/>
      <c r="J24" s="45"/>
    </row>
    <row r="25" spans="1:10">
      <c r="A25" s="41">
        <v>17</v>
      </c>
      <c r="B25" s="46">
        <v>46035</v>
      </c>
      <c r="C25" s="42" t="s">
        <v>935</v>
      </c>
      <c r="D25" s="42" t="s">
        <v>265</v>
      </c>
      <c r="E25" s="43"/>
      <c r="F25" s="44"/>
      <c r="G25" s="43">
        <v>2000</v>
      </c>
      <c r="H25" s="44"/>
      <c r="I25" s="43"/>
      <c r="J25" s="45"/>
    </row>
    <row r="26" spans="1:10">
      <c r="A26" s="41">
        <v>18</v>
      </c>
      <c r="B26" s="46">
        <v>46035</v>
      </c>
      <c r="C26" s="42" t="s">
        <v>936</v>
      </c>
      <c r="D26" s="42" t="s">
        <v>937</v>
      </c>
      <c r="E26" s="43"/>
      <c r="F26" s="44"/>
      <c r="G26" s="43">
        <v>4000</v>
      </c>
      <c r="H26" s="44"/>
      <c r="I26" s="43"/>
      <c r="J26" s="45"/>
    </row>
    <row r="27" spans="1:10">
      <c r="A27" s="41">
        <v>19</v>
      </c>
      <c r="B27" s="46">
        <v>46035</v>
      </c>
      <c r="C27" s="42" t="s">
        <v>938</v>
      </c>
      <c r="D27" s="42" t="s">
        <v>939</v>
      </c>
      <c r="E27" s="43"/>
      <c r="F27" s="44"/>
      <c r="G27" s="43">
        <v>300</v>
      </c>
      <c r="H27" s="44"/>
      <c r="I27" s="43"/>
      <c r="J27" s="45"/>
    </row>
    <row r="28" spans="1:10">
      <c r="A28" s="41">
        <v>20</v>
      </c>
      <c r="B28" s="46">
        <v>46035</v>
      </c>
      <c r="C28" s="42" t="s">
        <v>940</v>
      </c>
      <c r="D28" s="42" t="s">
        <v>941</v>
      </c>
      <c r="E28" s="43"/>
      <c r="F28" s="44"/>
      <c r="G28" s="43">
        <v>2000</v>
      </c>
      <c r="H28" s="44"/>
      <c r="I28" s="43"/>
      <c r="J28" s="45"/>
    </row>
    <row r="29" spans="1:10">
      <c r="A29" s="41">
        <v>21</v>
      </c>
      <c r="B29" s="46">
        <v>46035</v>
      </c>
      <c r="C29" s="42" t="s">
        <v>942</v>
      </c>
      <c r="D29" s="42" t="s">
        <v>560</v>
      </c>
      <c r="E29" s="43"/>
      <c r="F29" s="44"/>
      <c r="G29" s="43">
        <v>1000</v>
      </c>
      <c r="H29" s="44"/>
      <c r="I29" s="43"/>
      <c r="J29" s="45"/>
    </row>
    <row r="30" spans="1:10">
      <c r="A30" s="41">
        <v>22</v>
      </c>
      <c r="B30" s="46">
        <v>46035</v>
      </c>
      <c r="C30" s="42" t="s">
        <v>943</v>
      </c>
      <c r="D30" s="42" t="s">
        <v>944</v>
      </c>
      <c r="E30" s="43"/>
      <c r="F30" s="44"/>
      <c r="G30" s="43">
        <v>300</v>
      </c>
      <c r="H30" s="44"/>
      <c r="I30" s="43"/>
      <c r="J30" s="45"/>
    </row>
    <row r="31" spans="1:10">
      <c r="A31" s="41">
        <v>23</v>
      </c>
      <c r="B31" s="46">
        <v>46035</v>
      </c>
      <c r="C31" s="42" t="s">
        <v>945</v>
      </c>
      <c r="D31" s="42" t="s">
        <v>946</v>
      </c>
      <c r="E31" s="43"/>
      <c r="F31" s="44"/>
      <c r="G31" s="43">
        <v>2500</v>
      </c>
      <c r="H31" s="44"/>
      <c r="I31" s="43"/>
      <c r="J31" s="45"/>
    </row>
    <row r="32" spans="1:10" s="9" customFormat="1" ht="12.45">
      <c r="A32" s="41">
        <v>24</v>
      </c>
      <c r="B32" s="46">
        <v>46035</v>
      </c>
      <c r="C32" s="42" t="s">
        <v>947</v>
      </c>
      <c r="D32" s="42" t="s">
        <v>948</v>
      </c>
      <c r="E32" s="43"/>
      <c r="F32" s="44"/>
      <c r="G32" s="43">
        <v>800</v>
      </c>
      <c r="H32" s="44"/>
      <c r="I32" s="43"/>
      <c r="J32" s="45"/>
    </row>
    <row r="33" spans="1:10">
      <c r="A33" s="41">
        <v>25</v>
      </c>
      <c r="B33" s="46">
        <v>46035</v>
      </c>
      <c r="C33" s="42" t="s">
        <v>949</v>
      </c>
      <c r="D33" s="42" t="s">
        <v>950</v>
      </c>
      <c r="E33" s="43"/>
      <c r="F33" s="44"/>
      <c r="G33" s="43">
        <v>46.5</v>
      </c>
      <c r="H33" s="44"/>
      <c r="I33" s="43"/>
      <c r="J33" s="45"/>
    </row>
    <row r="34" spans="1:10">
      <c r="A34" s="41">
        <v>26</v>
      </c>
      <c r="B34" s="46">
        <v>46035</v>
      </c>
      <c r="C34" s="42" t="s">
        <v>951</v>
      </c>
      <c r="D34" s="42" t="s">
        <v>952</v>
      </c>
      <c r="E34" s="43"/>
      <c r="F34" s="44"/>
      <c r="G34" s="43">
        <v>153.4</v>
      </c>
      <c r="H34" s="44"/>
      <c r="I34" s="43"/>
      <c r="J34" s="45"/>
    </row>
    <row r="35" spans="1:10">
      <c r="A35" s="41">
        <v>27</v>
      </c>
      <c r="B35" s="46">
        <v>46035</v>
      </c>
      <c r="C35" s="42" t="s">
        <v>953</v>
      </c>
      <c r="D35" s="42" t="s">
        <v>954</v>
      </c>
      <c r="E35" s="43"/>
      <c r="F35" s="44"/>
      <c r="G35" s="43">
        <v>98</v>
      </c>
      <c r="H35" s="44"/>
      <c r="I35" s="43"/>
      <c r="J35" s="45"/>
    </row>
    <row r="36" spans="1:10">
      <c r="A36" s="41">
        <v>28</v>
      </c>
      <c r="B36" s="46">
        <v>46035</v>
      </c>
      <c r="C36" s="42" t="s">
        <v>955</v>
      </c>
      <c r="D36" s="42" t="s">
        <v>956</v>
      </c>
      <c r="E36" s="43"/>
      <c r="F36" s="44"/>
      <c r="G36" s="43">
        <v>200</v>
      </c>
      <c r="H36" s="44"/>
      <c r="I36" s="43"/>
      <c r="J36" s="45"/>
    </row>
    <row r="37" spans="1:10">
      <c r="A37" s="41">
        <v>29</v>
      </c>
      <c r="B37" s="46">
        <v>46035</v>
      </c>
      <c r="C37" s="42" t="s">
        <v>957</v>
      </c>
      <c r="D37" s="42" t="s">
        <v>958</v>
      </c>
      <c r="E37" s="43"/>
      <c r="F37" s="44"/>
      <c r="G37" s="43">
        <v>22.4</v>
      </c>
      <c r="H37" s="44"/>
      <c r="I37" s="43"/>
      <c r="J37" s="45"/>
    </row>
    <row r="38" spans="1:10">
      <c r="A38" s="41">
        <v>30</v>
      </c>
      <c r="B38" s="46">
        <v>46035</v>
      </c>
      <c r="C38" s="42" t="s">
        <v>959</v>
      </c>
      <c r="D38" s="42" t="s">
        <v>960</v>
      </c>
      <c r="E38" s="43"/>
      <c r="F38" s="44"/>
      <c r="G38" s="43">
        <v>350</v>
      </c>
      <c r="H38" s="44"/>
      <c r="I38" s="43"/>
      <c r="J38" s="45"/>
    </row>
    <row r="39" spans="1:10">
      <c r="A39" s="41">
        <v>31</v>
      </c>
      <c r="B39" s="46">
        <v>46035</v>
      </c>
      <c r="C39" s="42" t="s">
        <v>961</v>
      </c>
      <c r="D39" s="42" t="s">
        <v>960</v>
      </c>
      <c r="E39" s="43"/>
      <c r="F39" s="44"/>
      <c r="G39" s="43">
        <v>646.29999999999995</v>
      </c>
      <c r="H39" s="44"/>
      <c r="I39" s="43"/>
      <c r="J39" s="45"/>
    </row>
    <row r="40" spans="1:10">
      <c r="A40" s="41">
        <v>32</v>
      </c>
      <c r="B40" s="46">
        <v>46035</v>
      </c>
      <c r="C40" s="42" t="s">
        <v>962</v>
      </c>
      <c r="D40" s="42" t="s">
        <v>963</v>
      </c>
      <c r="E40" s="43"/>
      <c r="F40" s="44"/>
      <c r="G40" s="43">
        <v>200</v>
      </c>
      <c r="H40" s="44"/>
      <c r="I40" s="43"/>
      <c r="J40" s="45"/>
    </row>
    <row r="41" spans="1:10">
      <c r="A41" s="41">
        <v>33</v>
      </c>
      <c r="B41" s="46">
        <v>46035</v>
      </c>
      <c r="C41" s="42" t="s">
        <v>964</v>
      </c>
      <c r="D41" s="42" t="s">
        <v>965</v>
      </c>
      <c r="E41" s="43"/>
      <c r="F41" s="44"/>
      <c r="G41" s="43">
        <v>684.02</v>
      </c>
      <c r="H41" s="44"/>
      <c r="I41" s="43"/>
      <c r="J41" s="45"/>
    </row>
    <row r="42" spans="1:10" s="9" customFormat="1" thickBot="1">
      <c r="A42" s="47"/>
      <c r="B42" s="48"/>
      <c r="C42" s="48"/>
      <c r="D42" s="48" t="s">
        <v>4</v>
      </c>
      <c r="E42" s="50"/>
      <c r="F42" s="49">
        <f>F8</f>
        <v>5021296</v>
      </c>
      <c r="G42" s="50">
        <v>25945.119999999999</v>
      </c>
      <c r="H42" s="49">
        <v>0</v>
      </c>
      <c r="I42" s="50">
        <v>63750.239999999998</v>
      </c>
      <c r="J42" s="51">
        <f>J7+F42-H42</f>
        <v>300176418</v>
      </c>
    </row>
    <row r="44" spans="1:10">
      <c r="H44" s="10" t="s">
        <v>14</v>
      </c>
    </row>
    <row r="45" spans="1:10">
      <c r="H45" s="11" t="s">
        <v>15</v>
      </c>
    </row>
    <row r="158" spans="52:52">
      <c r="AZ158" s="1" t="s">
        <v>5</v>
      </c>
    </row>
  </sheetData>
  <mergeCells count="9">
    <mergeCell ref="A1:E2"/>
    <mergeCell ref="A3:J4"/>
    <mergeCell ref="A5:A6"/>
    <mergeCell ref="B5:B6"/>
    <mergeCell ref="C5:C6"/>
    <mergeCell ref="D5:D6"/>
    <mergeCell ref="E5:F5"/>
    <mergeCell ref="G5:H5"/>
    <mergeCell ref="I5:J5"/>
  </mergeCells>
  <pageMargins left="0.5" right="0" top="0.5" bottom="0.5" header="0" footer="0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5EB7F-A516-4ED7-AE97-37CA656B14AE}">
  <sheetPr>
    <tabColor rgb="FFFFFF00"/>
  </sheetPr>
  <dimension ref="A1:AZ158"/>
  <sheetViews>
    <sheetView topLeftCell="D35" zoomScale="85" zoomScaleNormal="85" workbookViewId="0">
      <selection activeCell="J62" sqref="J62"/>
    </sheetView>
  </sheetViews>
  <sheetFormatPr defaultColWidth="9.15234375" defaultRowHeight="12.9"/>
  <cols>
    <col min="1" max="1" width="4.23046875" style="1" bestFit="1" customWidth="1"/>
    <col min="2" max="2" width="6.84375" style="1" bestFit="1" customWidth="1"/>
    <col min="3" max="3" width="10.23046875" style="6" bestFit="1" customWidth="1"/>
    <col min="4" max="4" width="21.3828125" style="1" customWidth="1"/>
    <col min="5" max="5" width="8.4609375" style="7" bestFit="1" customWidth="1"/>
    <col min="6" max="6" width="5.765625" style="1" bestFit="1" customWidth="1"/>
    <col min="7" max="7" width="8.84375" style="1" bestFit="1" customWidth="1"/>
    <col min="8" max="8" width="9.765625" style="1" bestFit="1" customWidth="1"/>
    <col min="9" max="9" width="8.84375" style="1" bestFit="1" customWidth="1"/>
    <col min="10" max="10" width="10.61328125" style="1" bestFit="1" customWidth="1"/>
    <col min="11" max="16384" width="9.15234375" style="1"/>
  </cols>
  <sheetData>
    <row r="1" spans="1:52" ht="28.3" customHeight="1">
      <c r="A1" s="79" t="s">
        <v>17</v>
      </c>
      <c r="B1" s="80"/>
      <c r="C1" s="80"/>
      <c r="D1" s="80"/>
      <c r="E1" s="80"/>
    </row>
    <row r="2" spans="1:52" ht="28.3" customHeight="1">
      <c r="A2" s="80"/>
      <c r="B2" s="80"/>
      <c r="C2" s="80"/>
      <c r="D2" s="80"/>
      <c r="E2" s="80"/>
    </row>
    <row r="3" spans="1:52">
      <c r="A3" s="81" t="s">
        <v>11</v>
      </c>
      <c r="B3" s="81"/>
      <c r="C3" s="81"/>
      <c r="D3" s="81"/>
      <c r="E3" s="81"/>
      <c r="F3" s="81"/>
      <c r="G3" s="81"/>
      <c r="H3" s="81"/>
      <c r="I3" s="81"/>
      <c r="J3" s="81"/>
      <c r="AS3" s="2">
        <v>43921</v>
      </c>
      <c r="AZ3" s="1">
        <f>(AQ3-4)*20000</f>
        <v>-80000</v>
      </c>
    </row>
    <row r="4" spans="1:52" ht="13.3" thickBot="1">
      <c r="A4" s="81"/>
      <c r="B4" s="81"/>
      <c r="C4" s="81"/>
      <c r="D4" s="81"/>
      <c r="E4" s="81"/>
      <c r="F4" s="81"/>
      <c r="G4" s="81"/>
      <c r="H4" s="81"/>
      <c r="I4" s="81"/>
      <c r="J4" s="81"/>
    </row>
    <row r="5" spans="1:52">
      <c r="A5" s="82" t="s">
        <v>0</v>
      </c>
      <c r="B5" s="84" t="s">
        <v>9</v>
      </c>
      <c r="C5" s="86" t="s">
        <v>1</v>
      </c>
      <c r="D5" s="84" t="s">
        <v>10</v>
      </c>
      <c r="E5" s="88" t="s">
        <v>13</v>
      </c>
      <c r="F5" s="88"/>
      <c r="G5" s="88" t="s">
        <v>8</v>
      </c>
      <c r="H5" s="88"/>
      <c r="I5" s="88" t="s">
        <v>7</v>
      </c>
      <c r="J5" s="89"/>
    </row>
    <row r="6" spans="1:52">
      <c r="A6" s="83"/>
      <c r="B6" s="85"/>
      <c r="C6" s="87"/>
      <c r="D6" s="85"/>
      <c r="E6" s="38" t="s">
        <v>2</v>
      </c>
      <c r="F6" s="39" t="s">
        <v>6</v>
      </c>
      <c r="G6" s="39" t="s">
        <v>2</v>
      </c>
      <c r="H6" s="39" t="s">
        <v>6</v>
      </c>
      <c r="I6" s="39" t="s">
        <v>2</v>
      </c>
      <c r="J6" s="40" t="s">
        <v>6</v>
      </c>
    </row>
    <row r="7" spans="1:52">
      <c r="A7" s="41"/>
      <c r="B7" s="42"/>
      <c r="C7" s="42"/>
      <c r="D7" s="62" t="s">
        <v>12</v>
      </c>
      <c r="E7" s="43"/>
      <c r="F7" s="44"/>
      <c r="G7" s="43"/>
      <c r="H7" s="44"/>
      <c r="I7" s="43">
        <v>63750.239999999998</v>
      </c>
      <c r="J7" s="45">
        <v>300176418</v>
      </c>
    </row>
    <row r="8" spans="1:52">
      <c r="A8" s="41"/>
      <c r="B8" s="42"/>
      <c r="C8" s="42"/>
      <c r="D8" s="62" t="s">
        <v>16</v>
      </c>
      <c r="E8" s="43">
        <v>25945</v>
      </c>
      <c r="F8" s="44">
        <v>2904</v>
      </c>
      <c r="G8" s="43"/>
      <c r="H8" s="44"/>
      <c r="I8" s="43"/>
      <c r="J8" s="45"/>
    </row>
    <row r="9" spans="1:52">
      <c r="A9" s="41">
        <v>1</v>
      </c>
      <c r="B9" s="46">
        <v>46036</v>
      </c>
      <c r="C9" s="42" t="s">
        <v>966</v>
      </c>
      <c r="D9" s="62" t="s">
        <v>924</v>
      </c>
      <c r="E9" s="43"/>
      <c r="F9" s="44"/>
      <c r="G9" s="43">
        <v>1000</v>
      </c>
      <c r="H9" s="44"/>
      <c r="I9" s="43"/>
      <c r="J9" s="45"/>
    </row>
    <row r="10" spans="1:52">
      <c r="A10" s="41">
        <v>2</v>
      </c>
      <c r="B10" s="46">
        <v>46036</v>
      </c>
      <c r="C10" s="42" t="s">
        <v>967</v>
      </c>
      <c r="D10" s="62" t="s">
        <v>694</v>
      </c>
      <c r="E10" s="43"/>
      <c r="F10" s="44"/>
      <c r="G10" s="43">
        <v>269.77999999999997</v>
      </c>
      <c r="H10" s="44"/>
      <c r="I10" s="43"/>
      <c r="J10" s="45"/>
      <c r="AX10" s="5" t="s">
        <v>3</v>
      </c>
    </row>
    <row r="11" spans="1:52">
      <c r="A11" s="41">
        <v>3</v>
      </c>
      <c r="B11" s="46">
        <v>46036</v>
      </c>
      <c r="C11" s="42" t="s">
        <v>968</v>
      </c>
      <c r="D11" s="62" t="s">
        <v>969</v>
      </c>
      <c r="E11" s="43"/>
      <c r="F11" s="44"/>
      <c r="G11" s="43">
        <v>355.98</v>
      </c>
      <c r="H11" s="44"/>
      <c r="I11" s="43"/>
      <c r="J11" s="45"/>
    </row>
    <row r="12" spans="1:52">
      <c r="A12" s="41">
        <v>4</v>
      </c>
      <c r="B12" s="46">
        <v>46036</v>
      </c>
      <c r="C12" s="42" t="s">
        <v>970</v>
      </c>
      <c r="D12" s="62" t="s">
        <v>523</v>
      </c>
      <c r="E12" s="43"/>
      <c r="F12" s="44"/>
      <c r="G12" s="43">
        <v>129.24</v>
      </c>
      <c r="H12" s="44"/>
      <c r="I12" s="43"/>
      <c r="J12" s="45"/>
    </row>
    <row r="13" spans="1:52">
      <c r="A13" s="41">
        <v>5</v>
      </c>
      <c r="B13" s="46">
        <v>46036</v>
      </c>
      <c r="C13" s="42" t="s">
        <v>971</v>
      </c>
      <c r="D13" s="62" t="s">
        <v>972</v>
      </c>
      <c r="E13" s="43"/>
      <c r="F13" s="44"/>
      <c r="G13" s="43">
        <v>300</v>
      </c>
      <c r="H13" s="44"/>
      <c r="I13" s="43"/>
      <c r="J13" s="45"/>
    </row>
    <row r="14" spans="1:52">
      <c r="A14" s="41">
        <v>6</v>
      </c>
      <c r="B14" s="46">
        <v>46036</v>
      </c>
      <c r="C14" s="42" t="s">
        <v>973</v>
      </c>
      <c r="D14" s="62" t="s">
        <v>974</v>
      </c>
      <c r="E14" s="43"/>
      <c r="F14" s="44"/>
      <c r="G14" s="43">
        <v>213.37</v>
      </c>
      <c r="H14" s="44"/>
      <c r="I14" s="43"/>
      <c r="J14" s="45"/>
    </row>
    <row r="15" spans="1:52">
      <c r="A15" s="41">
        <v>7</v>
      </c>
      <c r="B15" s="46">
        <v>46036</v>
      </c>
      <c r="C15" s="42" t="s">
        <v>975</v>
      </c>
      <c r="D15" s="62" t="s">
        <v>976</v>
      </c>
      <c r="E15" s="43"/>
      <c r="F15" s="44"/>
      <c r="G15" s="43">
        <v>533.42999999999995</v>
      </c>
      <c r="H15" s="44"/>
      <c r="I15" s="43"/>
      <c r="J15" s="45"/>
    </row>
    <row r="16" spans="1:52">
      <c r="A16" s="41">
        <v>8</v>
      </c>
      <c r="B16" s="46">
        <v>46036</v>
      </c>
      <c r="C16" s="42" t="s">
        <v>977</v>
      </c>
      <c r="D16" s="62" t="s">
        <v>978</v>
      </c>
      <c r="E16" s="43"/>
      <c r="F16" s="44"/>
      <c r="G16" s="43">
        <v>300</v>
      </c>
      <c r="H16" s="44"/>
      <c r="I16" s="43"/>
      <c r="J16" s="45"/>
    </row>
    <row r="17" spans="1:10">
      <c r="A17" s="41">
        <v>9</v>
      </c>
      <c r="B17" s="46">
        <v>46036</v>
      </c>
      <c r="C17" s="42" t="s">
        <v>979</v>
      </c>
      <c r="D17" s="62" t="s">
        <v>667</v>
      </c>
      <c r="E17" s="43"/>
      <c r="F17" s="44"/>
      <c r="G17" s="43">
        <v>50</v>
      </c>
      <c r="H17" s="44"/>
      <c r="I17" s="43"/>
      <c r="J17" s="45"/>
    </row>
    <row r="18" spans="1:10">
      <c r="A18" s="41">
        <v>10</v>
      </c>
      <c r="B18" s="46">
        <v>46036</v>
      </c>
      <c r="C18" s="42" t="s">
        <v>980</v>
      </c>
      <c r="D18" s="62" t="s">
        <v>981</v>
      </c>
      <c r="E18" s="43"/>
      <c r="F18" s="44"/>
      <c r="G18" s="43">
        <v>200</v>
      </c>
      <c r="H18" s="44"/>
      <c r="I18" s="43"/>
      <c r="J18" s="45"/>
    </row>
    <row r="19" spans="1:10">
      <c r="A19" s="41">
        <v>11</v>
      </c>
      <c r="B19" s="46">
        <v>46036</v>
      </c>
      <c r="C19" s="42" t="s">
        <v>982</v>
      </c>
      <c r="D19" s="62" t="s">
        <v>195</v>
      </c>
      <c r="E19" s="43"/>
      <c r="F19" s="44"/>
      <c r="G19" s="43">
        <v>400</v>
      </c>
      <c r="H19" s="44"/>
      <c r="I19" s="43"/>
      <c r="J19" s="45"/>
    </row>
    <row r="20" spans="1:10">
      <c r="A20" s="41">
        <v>12</v>
      </c>
      <c r="B20" s="46">
        <v>46036</v>
      </c>
      <c r="C20" s="42" t="s">
        <v>983</v>
      </c>
      <c r="D20" s="62" t="s">
        <v>984</v>
      </c>
      <c r="E20" s="43"/>
      <c r="F20" s="44"/>
      <c r="G20" s="43">
        <v>227.84</v>
      </c>
      <c r="H20" s="44"/>
      <c r="I20" s="43"/>
      <c r="J20" s="45"/>
    </row>
    <row r="21" spans="1:10">
      <c r="A21" s="41">
        <v>13</v>
      </c>
      <c r="B21" s="46">
        <v>46036</v>
      </c>
      <c r="C21" s="42" t="s">
        <v>985</v>
      </c>
      <c r="D21" s="62" t="s">
        <v>986</v>
      </c>
      <c r="E21" s="43"/>
      <c r="F21" s="44"/>
      <c r="G21" s="43">
        <v>1200</v>
      </c>
      <c r="H21" s="44"/>
      <c r="I21" s="43"/>
      <c r="J21" s="45"/>
    </row>
    <row r="22" spans="1:10">
      <c r="A22" s="41">
        <v>14</v>
      </c>
      <c r="B22" s="46">
        <v>46036</v>
      </c>
      <c r="C22" s="42" t="s">
        <v>987</v>
      </c>
      <c r="D22" s="62" t="s">
        <v>281</v>
      </c>
      <c r="E22" s="43"/>
      <c r="F22" s="44"/>
      <c r="G22" s="43">
        <v>190.23</v>
      </c>
      <c r="H22" s="44"/>
      <c r="I22" s="43"/>
      <c r="J22" s="45"/>
    </row>
    <row r="23" spans="1:10">
      <c r="A23" s="41">
        <v>15</v>
      </c>
      <c r="B23" s="46">
        <v>46036</v>
      </c>
      <c r="C23" s="42" t="s">
        <v>988</v>
      </c>
      <c r="D23" s="62" t="s">
        <v>339</v>
      </c>
      <c r="E23" s="43"/>
      <c r="F23" s="44"/>
      <c r="G23" s="43">
        <v>400</v>
      </c>
      <c r="H23" s="44"/>
      <c r="I23" s="43"/>
      <c r="J23" s="45"/>
    </row>
    <row r="24" spans="1:10">
      <c r="A24" s="41">
        <v>16</v>
      </c>
      <c r="B24" s="46">
        <v>46036</v>
      </c>
      <c r="C24" s="42" t="s">
        <v>989</v>
      </c>
      <c r="D24" s="62" t="s">
        <v>357</v>
      </c>
      <c r="E24" s="43"/>
      <c r="F24" s="44"/>
      <c r="G24" s="43">
        <v>233.22</v>
      </c>
      <c r="H24" s="44"/>
      <c r="I24" s="43"/>
      <c r="J24" s="45"/>
    </row>
    <row r="25" spans="1:10">
      <c r="A25" s="41">
        <v>17</v>
      </c>
      <c r="B25" s="46">
        <v>46036</v>
      </c>
      <c r="C25" s="42" t="s">
        <v>990</v>
      </c>
      <c r="D25" s="62" t="s">
        <v>39</v>
      </c>
      <c r="E25" s="43"/>
      <c r="F25" s="44"/>
      <c r="G25" s="43">
        <v>45.7</v>
      </c>
      <c r="H25" s="44"/>
      <c r="I25" s="43"/>
      <c r="J25" s="45"/>
    </row>
    <row r="26" spans="1:10">
      <c r="A26" s="41">
        <v>18</v>
      </c>
      <c r="B26" s="46">
        <v>46036</v>
      </c>
      <c r="C26" s="42" t="s">
        <v>991</v>
      </c>
      <c r="D26" s="62" t="s">
        <v>992</v>
      </c>
      <c r="E26" s="43"/>
      <c r="F26" s="44"/>
      <c r="G26" s="43">
        <v>380.59</v>
      </c>
      <c r="H26" s="44"/>
      <c r="I26" s="43"/>
      <c r="J26" s="45"/>
    </row>
    <row r="27" spans="1:10">
      <c r="A27" s="41">
        <v>19</v>
      </c>
      <c r="B27" s="46">
        <v>46036</v>
      </c>
      <c r="C27" s="42" t="s">
        <v>993</v>
      </c>
      <c r="D27" s="62" t="s">
        <v>994</v>
      </c>
      <c r="E27" s="43"/>
      <c r="F27" s="44"/>
      <c r="G27" s="43">
        <v>900</v>
      </c>
      <c r="H27" s="44"/>
      <c r="I27" s="43"/>
      <c r="J27" s="45"/>
    </row>
    <row r="28" spans="1:10">
      <c r="A28" s="41">
        <v>20</v>
      </c>
      <c r="B28" s="46">
        <v>46036</v>
      </c>
      <c r="C28" s="42" t="s">
        <v>995</v>
      </c>
      <c r="D28" s="62" t="s">
        <v>996</v>
      </c>
      <c r="E28" s="43"/>
      <c r="F28" s="44"/>
      <c r="G28" s="43">
        <v>622.62</v>
      </c>
      <c r="H28" s="44"/>
      <c r="I28" s="43"/>
      <c r="J28" s="45"/>
    </row>
    <row r="29" spans="1:10">
      <c r="A29" s="41">
        <v>21</v>
      </c>
      <c r="B29" s="46">
        <v>46036</v>
      </c>
      <c r="C29" s="42" t="s">
        <v>997</v>
      </c>
      <c r="D29" s="62" t="s">
        <v>162</v>
      </c>
      <c r="E29" s="43"/>
      <c r="F29" s="44"/>
      <c r="G29" s="43">
        <v>104.68</v>
      </c>
      <c r="H29" s="44"/>
      <c r="I29" s="43"/>
      <c r="J29" s="45"/>
    </row>
    <row r="30" spans="1:10">
      <c r="A30" s="41">
        <v>22</v>
      </c>
      <c r="B30" s="46">
        <v>46036</v>
      </c>
      <c r="C30" s="42" t="s">
        <v>998</v>
      </c>
      <c r="D30" s="62" t="s">
        <v>862</v>
      </c>
      <c r="E30" s="43"/>
      <c r="F30" s="44"/>
      <c r="G30" s="43">
        <v>78.89</v>
      </c>
      <c r="H30" s="44"/>
      <c r="I30" s="43"/>
      <c r="J30" s="45"/>
    </row>
    <row r="31" spans="1:10">
      <c r="A31" s="41">
        <v>23</v>
      </c>
      <c r="B31" s="46">
        <v>46036</v>
      </c>
      <c r="C31" s="42" t="s">
        <v>999</v>
      </c>
      <c r="D31" s="62" t="s">
        <v>1000</v>
      </c>
      <c r="E31" s="43"/>
      <c r="F31" s="44"/>
      <c r="G31" s="43">
        <v>128.51</v>
      </c>
      <c r="H31" s="44"/>
      <c r="I31" s="43"/>
      <c r="J31" s="45"/>
    </row>
    <row r="32" spans="1:10" s="9" customFormat="1" ht="12.45">
      <c r="A32" s="41">
        <v>24</v>
      </c>
      <c r="B32" s="46">
        <v>46036</v>
      </c>
      <c r="C32" s="42" t="s">
        <v>1001</v>
      </c>
      <c r="D32" s="62" t="s">
        <v>1002</v>
      </c>
      <c r="E32" s="43"/>
      <c r="F32" s="44"/>
      <c r="G32" s="43">
        <v>465.42</v>
      </c>
      <c r="H32" s="44"/>
      <c r="I32" s="43"/>
      <c r="J32" s="45"/>
    </row>
    <row r="33" spans="1:10">
      <c r="A33" s="41">
        <v>25</v>
      </c>
      <c r="B33" s="46">
        <v>46036</v>
      </c>
      <c r="C33" s="42" t="s">
        <v>1003</v>
      </c>
      <c r="D33" s="62" t="s">
        <v>1004</v>
      </c>
      <c r="E33" s="43"/>
      <c r="F33" s="44"/>
      <c r="G33" s="43">
        <v>2900</v>
      </c>
      <c r="H33" s="44"/>
      <c r="I33" s="43"/>
      <c r="J33" s="45"/>
    </row>
    <row r="34" spans="1:10">
      <c r="A34" s="41">
        <v>26</v>
      </c>
      <c r="B34" s="46">
        <v>46036</v>
      </c>
      <c r="C34" s="42" t="s">
        <v>1005</v>
      </c>
      <c r="D34" s="62" t="s">
        <v>1006</v>
      </c>
      <c r="E34" s="43"/>
      <c r="F34" s="44"/>
      <c r="G34" s="43">
        <v>2900</v>
      </c>
      <c r="H34" s="44"/>
      <c r="I34" s="43"/>
      <c r="J34" s="45"/>
    </row>
    <row r="35" spans="1:10">
      <c r="A35" s="41">
        <v>27</v>
      </c>
      <c r="B35" s="46">
        <v>46036</v>
      </c>
      <c r="C35" s="42" t="s">
        <v>1007</v>
      </c>
      <c r="D35" s="62" t="s">
        <v>1008</v>
      </c>
      <c r="E35" s="43"/>
      <c r="F35" s="44"/>
      <c r="G35" s="43">
        <v>2900</v>
      </c>
      <c r="H35" s="44"/>
      <c r="I35" s="43"/>
      <c r="J35" s="45"/>
    </row>
    <row r="36" spans="1:10">
      <c r="A36" s="41">
        <v>28</v>
      </c>
      <c r="B36" s="46">
        <v>46036</v>
      </c>
      <c r="C36" s="42" t="s">
        <v>1009</v>
      </c>
      <c r="D36" s="62" t="s">
        <v>297</v>
      </c>
      <c r="E36" s="43"/>
      <c r="F36" s="44"/>
      <c r="G36" s="43">
        <v>600</v>
      </c>
      <c r="H36" s="44"/>
      <c r="I36" s="43"/>
      <c r="J36" s="45"/>
    </row>
    <row r="37" spans="1:10">
      <c r="A37" s="41">
        <v>29</v>
      </c>
      <c r="B37" s="46">
        <v>46036</v>
      </c>
      <c r="C37" s="42" t="s">
        <v>1010</v>
      </c>
      <c r="D37" s="62" t="s">
        <v>1011</v>
      </c>
      <c r="E37" s="43"/>
      <c r="F37" s="44"/>
      <c r="G37" s="43">
        <v>500</v>
      </c>
      <c r="H37" s="44"/>
      <c r="I37" s="43"/>
      <c r="J37" s="45"/>
    </row>
    <row r="38" spans="1:10">
      <c r="A38" s="41">
        <v>30</v>
      </c>
      <c r="B38" s="46">
        <v>46036</v>
      </c>
      <c r="C38" s="42" t="s">
        <v>1012</v>
      </c>
      <c r="D38" s="62" t="s">
        <v>1013</v>
      </c>
      <c r="E38" s="43"/>
      <c r="F38" s="44"/>
      <c r="G38" s="43">
        <v>3000</v>
      </c>
      <c r="H38" s="44"/>
      <c r="I38" s="43"/>
      <c r="J38" s="45"/>
    </row>
    <row r="39" spans="1:10">
      <c r="A39" s="41">
        <v>31</v>
      </c>
      <c r="B39" s="46">
        <v>46036</v>
      </c>
      <c r="C39" s="42" t="s">
        <v>1014</v>
      </c>
      <c r="D39" s="62" t="s">
        <v>1013</v>
      </c>
      <c r="E39" s="43"/>
      <c r="F39" s="44"/>
      <c r="G39" s="43">
        <v>3000</v>
      </c>
      <c r="H39" s="44"/>
      <c r="I39" s="43"/>
      <c r="J39" s="45"/>
    </row>
    <row r="40" spans="1:10">
      <c r="A40" s="41">
        <v>32</v>
      </c>
      <c r="B40" s="46">
        <v>46036</v>
      </c>
      <c r="C40" s="42" t="s">
        <v>1015</v>
      </c>
      <c r="D40" s="62" t="s">
        <v>1016</v>
      </c>
      <c r="E40" s="43"/>
      <c r="F40" s="44"/>
      <c r="G40" s="43">
        <v>3000</v>
      </c>
      <c r="H40" s="44"/>
      <c r="I40" s="43"/>
      <c r="J40" s="45"/>
    </row>
    <row r="41" spans="1:10">
      <c r="A41" s="41">
        <v>33</v>
      </c>
      <c r="B41" s="46">
        <v>46036</v>
      </c>
      <c r="C41" s="42" t="s">
        <v>1017</v>
      </c>
      <c r="D41" s="62" t="s">
        <v>1016</v>
      </c>
      <c r="E41" s="43"/>
      <c r="F41" s="44"/>
      <c r="G41" s="43">
        <v>2000</v>
      </c>
      <c r="H41" s="44"/>
      <c r="I41" s="43"/>
      <c r="J41" s="45"/>
    </row>
    <row r="42" spans="1:10" s="9" customFormat="1" ht="12.45">
      <c r="A42" s="41">
        <v>34</v>
      </c>
      <c r="B42" s="46">
        <v>46036</v>
      </c>
      <c r="C42" s="42" t="s">
        <v>1018</v>
      </c>
      <c r="D42" s="62" t="s">
        <v>1019</v>
      </c>
      <c r="E42" s="43"/>
      <c r="F42" s="44"/>
      <c r="G42" s="43">
        <v>1125.03</v>
      </c>
      <c r="H42" s="44"/>
      <c r="I42" s="43"/>
      <c r="J42" s="45"/>
    </row>
    <row r="43" spans="1:10">
      <c r="A43" s="41">
        <v>35</v>
      </c>
      <c r="B43" s="46">
        <v>46036</v>
      </c>
      <c r="C43" s="42" t="s">
        <v>1020</v>
      </c>
      <c r="D43" s="62" t="s">
        <v>1021</v>
      </c>
      <c r="E43" s="43"/>
      <c r="F43" s="44"/>
      <c r="G43" s="43">
        <v>950</v>
      </c>
      <c r="H43" s="44"/>
      <c r="I43" s="43"/>
      <c r="J43" s="45"/>
    </row>
    <row r="44" spans="1:10">
      <c r="A44" s="41">
        <v>36</v>
      </c>
      <c r="B44" s="46">
        <v>46036</v>
      </c>
      <c r="C44" s="42" t="s">
        <v>1022</v>
      </c>
      <c r="D44" s="62" t="s">
        <v>1023</v>
      </c>
      <c r="E44" s="43"/>
      <c r="F44" s="44"/>
      <c r="G44" s="43">
        <v>2500</v>
      </c>
      <c r="H44" s="44"/>
      <c r="I44" s="43"/>
      <c r="J44" s="45"/>
    </row>
    <row r="45" spans="1:10">
      <c r="A45" s="41">
        <v>37</v>
      </c>
      <c r="B45" s="46">
        <v>46036</v>
      </c>
      <c r="C45" s="42" t="s">
        <v>1024</v>
      </c>
      <c r="D45" s="62" t="s">
        <v>1025</v>
      </c>
      <c r="E45" s="43"/>
      <c r="F45" s="44"/>
      <c r="G45" s="43">
        <v>500</v>
      </c>
      <c r="H45" s="44"/>
      <c r="I45" s="43"/>
      <c r="J45" s="45"/>
    </row>
    <row r="46" spans="1:10">
      <c r="A46" s="41">
        <v>38</v>
      </c>
      <c r="B46" s="46">
        <v>46036</v>
      </c>
      <c r="C46" s="42" t="s">
        <v>1026</v>
      </c>
      <c r="D46" s="62" t="s">
        <v>880</v>
      </c>
      <c r="E46" s="43"/>
      <c r="F46" s="44"/>
      <c r="G46" s="43">
        <v>668.2</v>
      </c>
      <c r="H46" s="44"/>
      <c r="I46" s="43"/>
      <c r="J46" s="45"/>
    </row>
    <row r="47" spans="1:10">
      <c r="A47" s="41">
        <v>39</v>
      </c>
      <c r="B47" s="46">
        <v>46036</v>
      </c>
      <c r="C47" s="42" t="s">
        <v>1027</v>
      </c>
      <c r="D47" s="62" t="s">
        <v>368</v>
      </c>
      <c r="E47" s="43"/>
      <c r="F47" s="44"/>
      <c r="G47" s="43">
        <v>300</v>
      </c>
      <c r="H47" s="44"/>
      <c r="I47" s="43"/>
      <c r="J47" s="45"/>
    </row>
    <row r="48" spans="1:10">
      <c r="A48" s="41">
        <v>40</v>
      </c>
      <c r="B48" s="46">
        <v>46036</v>
      </c>
      <c r="C48" s="42" t="s">
        <v>1028</v>
      </c>
      <c r="D48" s="62" t="s">
        <v>1029</v>
      </c>
      <c r="E48" s="43"/>
      <c r="F48" s="44"/>
      <c r="G48" s="43">
        <v>1000</v>
      </c>
      <c r="H48" s="44"/>
      <c r="I48" s="43"/>
      <c r="J48" s="45"/>
    </row>
    <row r="49" spans="1:10">
      <c r="A49" s="41">
        <v>41</v>
      </c>
      <c r="B49" s="46">
        <v>46036</v>
      </c>
      <c r="C49" s="42" t="s">
        <v>1030</v>
      </c>
      <c r="D49" s="62" t="s">
        <v>1031</v>
      </c>
      <c r="E49" s="43"/>
      <c r="F49" s="44"/>
      <c r="G49" s="43">
        <v>200</v>
      </c>
      <c r="H49" s="44"/>
      <c r="I49" s="43"/>
      <c r="J49" s="45"/>
    </row>
    <row r="50" spans="1:10">
      <c r="A50" s="41">
        <v>42</v>
      </c>
      <c r="B50" s="46">
        <v>46036</v>
      </c>
      <c r="C50" s="42" t="s">
        <v>1032</v>
      </c>
      <c r="D50" s="62" t="s">
        <v>642</v>
      </c>
      <c r="E50" s="43"/>
      <c r="F50" s="44"/>
      <c r="G50" s="43">
        <v>200</v>
      </c>
      <c r="H50" s="44"/>
      <c r="I50" s="43"/>
      <c r="J50" s="45"/>
    </row>
    <row r="51" spans="1:10">
      <c r="A51" s="41">
        <v>43</v>
      </c>
      <c r="B51" s="46">
        <v>46036</v>
      </c>
      <c r="C51" s="42" t="s">
        <v>1033</v>
      </c>
      <c r="D51" s="62" t="s">
        <v>1034</v>
      </c>
      <c r="E51" s="43"/>
      <c r="F51" s="44"/>
      <c r="G51" s="43">
        <v>61.66</v>
      </c>
      <c r="H51" s="44"/>
      <c r="I51" s="43"/>
      <c r="J51" s="45"/>
    </row>
    <row r="52" spans="1:10">
      <c r="A52" s="41">
        <v>44</v>
      </c>
      <c r="B52" s="46">
        <v>46036</v>
      </c>
      <c r="C52" s="42" t="s">
        <v>1035</v>
      </c>
      <c r="D52" s="62" t="s">
        <v>1036</v>
      </c>
      <c r="E52" s="43"/>
      <c r="F52" s="44"/>
      <c r="G52" s="43">
        <v>2250</v>
      </c>
      <c r="H52" s="44"/>
      <c r="I52" s="43"/>
      <c r="J52" s="45"/>
    </row>
    <row r="53" spans="1:10">
      <c r="A53" s="41">
        <v>45</v>
      </c>
      <c r="B53" s="46">
        <v>46036</v>
      </c>
      <c r="C53" s="42" t="s">
        <v>1037</v>
      </c>
      <c r="D53" s="62" t="s">
        <v>1038</v>
      </c>
      <c r="E53" s="43"/>
      <c r="F53" s="44"/>
      <c r="G53" s="43">
        <v>61.66</v>
      </c>
      <c r="H53" s="44"/>
      <c r="I53" s="43"/>
      <c r="J53" s="45"/>
    </row>
    <row r="54" spans="1:10">
      <c r="A54" s="41">
        <v>46</v>
      </c>
      <c r="B54" s="46">
        <v>46036</v>
      </c>
      <c r="C54" s="42" t="s">
        <v>1039</v>
      </c>
      <c r="D54" s="62" t="s">
        <v>205</v>
      </c>
      <c r="E54" s="43"/>
      <c r="F54" s="44"/>
      <c r="G54" s="43">
        <v>200</v>
      </c>
      <c r="H54" s="44"/>
      <c r="I54" s="43"/>
      <c r="J54" s="45"/>
    </row>
    <row r="55" spans="1:10">
      <c r="A55" s="41">
        <v>47</v>
      </c>
      <c r="B55" s="46">
        <v>46036</v>
      </c>
      <c r="C55" s="42" t="s">
        <v>1040</v>
      </c>
      <c r="D55" s="62" t="s">
        <v>1041</v>
      </c>
      <c r="E55" s="43"/>
      <c r="F55" s="44"/>
      <c r="G55" s="43">
        <v>841.16</v>
      </c>
      <c r="H55" s="44"/>
      <c r="I55" s="43"/>
      <c r="J55" s="45"/>
    </row>
    <row r="56" spans="1:10">
      <c r="A56" s="41">
        <v>48</v>
      </c>
      <c r="B56" s="46">
        <v>46036</v>
      </c>
      <c r="C56" s="42" t="s">
        <v>1042</v>
      </c>
      <c r="D56" s="62" t="s">
        <v>1043</v>
      </c>
      <c r="E56" s="43"/>
      <c r="F56" s="44"/>
      <c r="G56" s="43">
        <v>1600</v>
      </c>
      <c r="H56" s="44"/>
      <c r="I56" s="43"/>
      <c r="J56" s="45"/>
    </row>
    <row r="57" spans="1:10">
      <c r="A57" s="41">
        <v>49</v>
      </c>
      <c r="B57" s="46">
        <v>46036</v>
      </c>
      <c r="C57" s="42" t="s">
        <v>1044</v>
      </c>
      <c r="D57" s="62" t="s">
        <v>1041</v>
      </c>
      <c r="E57" s="43"/>
      <c r="F57" s="44"/>
      <c r="G57" s="43">
        <v>1682.31</v>
      </c>
      <c r="H57" s="44"/>
      <c r="I57" s="43"/>
      <c r="J57" s="45"/>
    </row>
    <row r="58" spans="1:10">
      <c r="A58" s="41">
        <v>50</v>
      </c>
      <c r="B58" s="46">
        <v>46036</v>
      </c>
      <c r="C58" s="42" t="s">
        <v>1045</v>
      </c>
      <c r="D58" s="62" t="s">
        <v>543</v>
      </c>
      <c r="E58" s="43"/>
      <c r="F58" s="44"/>
      <c r="G58" s="43">
        <v>304.81</v>
      </c>
      <c r="H58" s="44"/>
      <c r="I58" s="43"/>
      <c r="J58" s="45"/>
    </row>
    <row r="59" spans="1:10">
      <c r="A59" s="41">
        <v>51</v>
      </c>
      <c r="B59" s="46">
        <v>46036</v>
      </c>
      <c r="C59" s="42" t="s">
        <v>1046</v>
      </c>
      <c r="D59" s="62" t="s">
        <v>1041</v>
      </c>
      <c r="E59" s="43"/>
      <c r="F59" s="44"/>
      <c r="G59" s="43">
        <v>1623.93</v>
      </c>
      <c r="H59" s="44"/>
      <c r="I59" s="43"/>
      <c r="J59" s="45"/>
    </row>
    <row r="60" spans="1:10">
      <c r="A60" s="41">
        <v>52</v>
      </c>
      <c r="B60" s="46">
        <v>46036</v>
      </c>
      <c r="C60" s="42" t="s">
        <v>1047</v>
      </c>
      <c r="D60" s="62" t="s">
        <v>193</v>
      </c>
      <c r="E60" s="43"/>
      <c r="F60" s="44"/>
      <c r="G60" s="43"/>
      <c r="H60" s="44">
        <v>13140000</v>
      </c>
      <c r="I60" s="43"/>
      <c r="J60" s="45"/>
    </row>
    <row r="61" spans="1:10" s="9" customFormat="1" thickBot="1">
      <c r="A61" s="47"/>
      <c r="B61" s="48"/>
      <c r="C61" s="48"/>
      <c r="D61" s="48" t="s">
        <v>4</v>
      </c>
      <c r="E61" s="50"/>
      <c r="F61" s="49">
        <f>F8</f>
        <v>2904</v>
      </c>
      <c r="G61" s="50">
        <v>45594.26</v>
      </c>
      <c r="H61" s="49">
        <v>13140000</v>
      </c>
      <c r="I61" s="50">
        <v>44100.98</v>
      </c>
      <c r="J61" s="51">
        <f>J7+F61-H61</f>
        <v>287039322</v>
      </c>
    </row>
    <row r="63" spans="1:10">
      <c r="H63" s="10" t="s">
        <v>14</v>
      </c>
    </row>
    <row r="64" spans="1:10">
      <c r="H64" s="11" t="s">
        <v>15</v>
      </c>
    </row>
    <row r="158" spans="52:52">
      <c r="AZ158" s="1" t="s">
        <v>5</v>
      </c>
    </row>
  </sheetData>
  <mergeCells count="9">
    <mergeCell ref="A1:E2"/>
    <mergeCell ref="A3:J4"/>
    <mergeCell ref="A5:A6"/>
    <mergeCell ref="B5:B6"/>
    <mergeCell ref="C5:C6"/>
    <mergeCell ref="D5:D6"/>
    <mergeCell ref="E5:F5"/>
    <mergeCell ref="G5:H5"/>
    <mergeCell ref="I5:J5"/>
  </mergeCells>
  <pageMargins left="0.5" right="0" top="0.5" bottom="0.5" header="0" footer="0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304AD-33E3-4A00-9BE7-75866BD7DE72}">
  <sheetPr>
    <tabColor rgb="FFFFFF00"/>
  </sheetPr>
  <dimension ref="A1:AZ140"/>
  <sheetViews>
    <sheetView topLeftCell="A28" zoomScale="130" zoomScaleNormal="130" workbookViewId="0">
      <selection activeCell="J44" sqref="J44"/>
    </sheetView>
  </sheetViews>
  <sheetFormatPr defaultColWidth="9.15234375" defaultRowHeight="12.9"/>
  <cols>
    <col min="1" max="1" width="4.23046875" style="1" bestFit="1" customWidth="1"/>
    <col min="2" max="2" width="6.84375" style="1" bestFit="1" customWidth="1"/>
    <col min="3" max="3" width="10.23046875" style="6" bestFit="1" customWidth="1"/>
    <col min="4" max="4" width="21.23046875" style="69" customWidth="1"/>
    <col min="5" max="5" width="8.4609375" style="7" bestFit="1" customWidth="1"/>
    <col min="6" max="6" width="9.765625" style="1" bestFit="1" customWidth="1"/>
    <col min="7" max="9" width="8.84375" style="1" bestFit="1" customWidth="1"/>
    <col min="10" max="10" width="10.61328125" style="1" bestFit="1" customWidth="1"/>
    <col min="11" max="16384" width="9.15234375" style="1"/>
  </cols>
  <sheetData>
    <row r="1" spans="1:52" ht="28.3" customHeight="1">
      <c r="A1" s="79" t="s">
        <v>17</v>
      </c>
      <c r="B1" s="80"/>
      <c r="C1" s="80"/>
      <c r="D1" s="80"/>
      <c r="E1" s="80"/>
    </row>
    <row r="2" spans="1:52" ht="28.3" customHeight="1">
      <c r="A2" s="80"/>
      <c r="B2" s="80"/>
      <c r="C2" s="80"/>
      <c r="D2" s="80"/>
      <c r="E2" s="80"/>
    </row>
    <row r="3" spans="1:52">
      <c r="A3" s="81" t="s">
        <v>11</v>
      </c>
      <c r="B3" s="81"/>
      <c r="C3" s="81"/>
      <c r="D3" s="81"/>
      <c r="E3" s="81"/>
      <c r="F3" s="81"/>
      <c r="G3" s="81"/>
      <c r="H3" s="81"/>
      <c r="I3" s="81"/>
      <c r="J3" s="81"/>
      <c r="AS3" s="2">
        <v>43921</v>
      </c>
      <c r="AZ3" s="1">
        <f>(AQ3-4)*20000</f>
        <v>-80000</v>
      </c>
    </row>
    <row r="4" spans="1:52" ht="13.3" thickBot="1">
      <c r="A4" s="81"/>
      <c r="B4" s="81"/>
      <c r="C4" s="81"/>
      <c r="D4" s="81"/>
      <c r="E4" s="81"/>
      <c r="F4" s="81"/>
      <c r="G4" s="81"/>
      <c r="H4" s="81"/>
      <c r="I4" s="81"/>
      <c r="J4" s="81"/>
    </row>
    <row r="5" spans="1:52">
      <c r="A5" s="82" t="s">
        <v>0</v>
      </c>
      <c r="B5" s="84" t="s">
        <v>9</v>
      </c>
      <c r="C5" s="86" t="s">
        <v>1</v>
      </c>
      <c r="D5" s="84" t="s">
        <v>10</v>
      </c>
      <c r="E5" s="88" t="s">
        <v>13</v>
      </c>
      <c r="F5" s="88"/>
      <c r="G5" s="88" t="s">
        <v>8</v>
      </c>
      <c r="H5" s="88"/>
      <c r="I5" s="88" t="s">
        <v>7</v>
      </c>
      <c r="J5" s="89"/>
    </row>
    <row r="6" spans="1:52">
      <c r="A6" s="83"/>
      <c r="B6" s="85"/>
      <c r="C6" s="87"/>
      <c r="D6" s="85"/>
      <c r="E6" s="38" t="s">
        <v>2</v>
      </c>
      <c r="F6" s="39" t="s">
        <v>6</v>
      </c>
      <c r="G6" s="39" t="s">
        <v>2</v>
      </c>
      <c r="H6" s="39" t="s">
        <v>6</v>
      </c>
      <c r="I6" s="39" t="s">
        <v>2</v>
      </c>
      <c r="J6" s="40" t="s">
        <v>6</v>
      </c>
    </row>
    <row r="7" spans="1:52">
      <c r="A7" s="41"/>
      <c r="B7" s="42"/>
      <c r="C7" s="42"/>
      <c r="D7" s="62" t="s">
        <v>12</v>
      </c>
      <c r="E7" s="43"/>
      <c r="F7" s="44"/>
      <c r="G7" s="43"/>
      <c r="H7" s="44"/>
      <c r="I7" s="43">
        <v>44100.98</v>
      </c>
      <c r="J7" s="45">
        <v>287039322</v>
      </c>
    </row>
    <row r="8" spans="1:52">
      <c r="A8" s="41"/>
      <c r="B8" s="42"/>
      <c r="C8" s="42"/>
      <c r="D8" s="62" t="s">
        <v>16</v>
      </c>
      <c r="E8" s="43">
        <v>45594</v>
      </c>
      <c r="F8" s="44">
        <f>13140000+3108</f>
        <v>13143108</v>
      </c>
      <c r="G8" s="43"/>
      <c r="H8" s="44"/>
      <c r="I8" s="43"/>
      <c r="J8" s="45"/>
    </row>
    <row r="9" spans="1:52">
      <c r="A9" s="41">
        <v>1</v>
      </c>
      <c r="B9" s="46">
        <v>46037</v>
      </c>
      <c r="C9" s="42" t="s">
        <v>1048</v>
      </c>
      <c r="D9" s="62" t="s">
        <v>1049</v>
      </c>
      <c r="E9" s="43"/>
      <c r="F9" s="44"/>
      <c r="G9" s="43">
        <v>1200</v>
      </c>
      <c r="H9" s="44"/>
      <c r="I9" s="43"/>
      <c r="J9" s="45"/>
    </row>
    <row r="10" spans="1:52">
      <c r="A10" s="41">
        <v>2</v>
      </c>
      <c r="B10" s="46">
        <v>46037</v>
      </c>
      <c r="C10" s="42" t="s">
        <v>1050</v>
      </c>
      <c r="D10" s="62" t="s">
        <v>1051</v>
      </c>
      <c r="E10" s="43"/>
      <c r="F10" s="44"/>
      <c r="G10" s="43">
        <v>799.32</v>
      </c>
      <c r="H10" s="44"/>
      <c r="I10" s="43"/>
      <c r="J10" s="45"/>
      <c r="AX10" s="5" t="s">
        <v>3</v>
      </c>
    </row>
    <row r="11" spans="1:52">
      <c r="A11" s="41">
        <v>3</v>
      </c>
      <c r="B11" s="46">
        <v>46037</v>
      </c>
      <c r="C11" s="42" t="s">
        <v>1052</v>
      </c>
      <c r="D11" s="62" t="s">
        <v>1053</v>
      </c>
      <c r="E11" s="43"/>
      <c r="F11" s="44"/>
      <c r="G11" s="43">
        <v>688.57</v>
      </c>
      <c r="H11" s="44"/>
      <c r="I11" s="43"/>
      <c r="J11" s="45"/>
    </row>
    <row r="12" spans="1:52">
      <c r="A12" s="41">
        <v>4</v>
      </c>
      <c r="B12" s="46">
        <v>46037</v>
      </c>
      <c r="C12" s="42" t="s">
        <v>1054</v>
      </c>
      <c r="D12" s="62" t="s">
        <v>1055</v>
      </c>
      <c r="E12" s="43"/>
      <c r="F12" s="44"/>
      <c r="G12" s="43">
        <v>2000</v>
      </c>
      <c r="H12" s="44"/>
      <c r="I12" s="43"/>
      <c r="J12" s="45"/>
    </row>
    <row r="13" spans="1:52">
      <c r="A13" s="41">
        <v>5</v>
      </c>
      <c r="B13" s="46">
        <v>46037</v>
      </c>
      <c r="C13" s="42" t="s">
        <v>1056</v>
      </c>
      <c r="D13" s="62" t="s">
        <v>1057</v>
      </c>
      <c r="E13" s="43"/>
      <c r="F13" s="44"/>
      <c r="G13" s="43">
        <v>2000</v>
      </c>
      <c r="H13" s="44"/>
      <c r="I13" s="43"/>
      <c r="J13" s="45"/>
    </row>
    <row r="14" spans="1:52">
      <c r="A14" s="41">
        <v>6</v>
      </c>
      <c r="B14" s="46">
        <v>46037</v>
      </c>
      <c r="C14" s="42" t="s">
        <v>1058</v>
      </c>
      <c r="D14" s="62" t="s">
        <v>1057</v>
      </c>
      <c r="E14" s="43"/>
      <c r="F14" s="44"/>
      <c r="G14" s="43">
        <v>1500</v>
      </c>
      <c r="H14" s="44"/>
      <c r="I14" s="43"/>
      <c r="J14" s="45"/>
    </row>
    <row r="15" spans="1:52">
      <c r="A15" s="41">
        <v>7</v>
      </c>
      <c r="B15" s="46">
        <v>46037</v>
      </c>
      <c r="C15" s="42" t="s">
        <v>1059</v>
      </c>
      <c r="D15" s="62" t="s">
        <v>1060</v>
      </c>
      <c r="E15" s="43"/>
      <c r="F15" s="44"/>
      <c r="G15" s="43">
        <v>2000</v>
      </c>
      <c r="H15" s="44"/>
      <c r="I15" s="43"/>
      <c r="J15" s="45"/>
    </row>
    <row r="16" spans="1:52">
      <c r="A16" s="41">
        <v>8</v>
      </c>
      <c r="B16" s="46">
        <v>46037</v>
      </c>
      <c r="C16" s="42" t="s">
        <v>1061</v>
      </c>
      <c r="D16" s="62" t="s">
        <v>1062</v>
      </c>
      <c r="E16" s="43"/>
      <c r="F16" s="44"/>
      <c r="G16" s="43">
        <v>1700</v>
      </c>
      <c r="H16" s="44"/>
      <c r="I16" s="43"/>
      <c r="J16" s="45"/>
    </row>
    <row r="17" spans="1:10">
      <c r="A17" s="41">
        <v>9</v>
      </c>
      <c r="B17" s="46">
        <v>46037</v>
      </c>
      <c r="C17" s="42" t="s">
        <v>1063</v>
      </c>
      <c r="D17" s="62" t="s">
        <v>670</v>
      </c>
      <c r="E17" s="43"/>
      <c r="F17" s="44"/>
      <c r="G17" s="43">
        <v>200</v>
      </c>
      <c r="H17" s="44"/>
      <c r="I17" s="43"/>
      <c r="J17" s="45"/>
    </row>
    <row r="18" spans="1:10">
      <c r="A18" s="41">
        <v>10</v>
      </c>
      <c r="B18" s="46">
        <v>46037</v>
      </c>
      <c r="C18" s="42" t="s">
        <v>1064</v>
      </c>
      <c r="D18" s="62" t="s">
        <v>1065</v>
      </c>
      <c r="E18" s="43"/>
      <c r="F18" s="44"/>
      <c r="G18" s="43">
        <v>2500</v>
      </c>
      <c r="H18" s="44"/>
      <c r="I18" s="43"/>
      <c r="J18" s="45"/>
    </row>
    <row r="19" spans="1:10">
      <c r="A19" s="41">
        <v>11</v>
      </c>
      <c r="B19" s="46">
        <v>46037</v>
      </c>
      <c r="C19" s="42" t="s">
        <v>1066</v>
      </c>
      <c r="D19" s="62" t="s">
        <v>110</v>
      </c>
      <c r="E19" s="43"/>
      <c r="F19" s="44"/>
      <c r="G19" s="43">
        <v>514.04999999999995</v>
      </c>
      <c r="H19" s="44"/>
      <c r="I19" s="43"/>
      <c r="J19" s="45"/>
    </row>
    <row r="20" spans="1:10">
      <c r="A20" s="41">
        <v>12</v>
      </c>
      <c r="B20" s="46">
        <v>46037</v>
      </c>
      <c r="C20" s="42" t="s">
        <v>1067</v>
      </c>
      <c r="D20" s="62" t="s">
        <v>1068</v>
      </c>
      <c r="E20" s="43"/>
      <c r="F20" s="44"/>
      <c r="G20" s="43">
        <v>226.79</v>
      </c>
      <c r="H20" s="44"/>
      <c r="I20" s="43"/>
      <c r="J20" s="45"/>
    </row>
    <row r="21" spans="1:10">
      <c r="A21" s="41">
        <v>13</v>
      </c>
      <c r="B21" s="46">
        <v>46037</v>
      </c>
      <c r="C21" s="42" t="s">
        <v>1069</v>
      </c>
      <c r="D21" s="62" t="s">
        <v>1070</v>
      </c>
      <c r="E21" s="43"/>
      <c r="F21" s="44"/>
      <c r="G21" s="43">
        <v>200</v>
      </c>
      <c r="H21" s="44"/>
      <c r="I21" s="43"/>
      <c r="J21" s="45"/>
    </row>
    <row r="22" spans="1:10">
      <c r="A22" s="41">
        <v>14</v>
      </c>
      <c r="B22" s="46">
        <v>46037</v>
      </c>
      <c r="C22" s="42" t="s">
        <v>1071</v>
      </c>
      <c r="D22" s="62" t="s">
        <v>1072</v>
      </c>
      <c r="E22" s="43"/>
      <c r="F22" s="44"/>
      <c r="G22" s="43">
        <v>672.35</v>
      </c>
      <c r="H22" s="44"/>
      <c r="I22" s="43"/>
      <c r="J22" s="45"/>
    </row>
    <row r="23" spans="1:10">
      <c r="A23" s="41">
        <v>15</v>
      </c>
      <c r="B23" s="46">
        <v>46037</v>
      </c>
      <c r="C23" s="42" t="s">
        <v>1073</v>
      </c>
      <c r="D23" s="62" t="s">
        <v>1074</v>
      </c>
      <c r="E23" s="43"/>
      <c r="F23" s="44"/>
      <c r="G23" s="43">
        <v>6500</v>
      </c>
      <c r="H23" s="44"/>
      <c r="I23" s="43"/>
      <c r="J23" s="45"/>
    </row>
    <row r="24" spans="1:10">
      <c r="A24" s="41">
        <v>16</v>
      </c>
      <c r="B24" s="46">
        <v>46037</v>
      </c>
      <c r="C24" s="42" t="s">
        <v>1075</v>
      </c>
      <c r="D24" s="62" t="s">
        <v>32</v>
      </c>
      <c r="E24" s="43"/>
      <c r="F24" s="44"/>
      <c r="G24" s="43">
        <v>2000</v>
      </c>
      <c r="H24" s="44"/>
      <c r="I24" s="43"/>
      <c r="J24" s="45"/>
    </row>
    <row r="25" spans="1:10">
      <c r="A25" s="41">
        <v>17</v>
      </c>
      <c r="B25" s="46">
        <v>46037</v>
      </c>
      <c r="C25" s="42" t="s">
        <v>1076</v>
      </c>
      <c r="D25" s="62" t="s">
        <v>1077</v>
      </c>
      <c r="E25" s="43"/>
      <c r="F25" s="44"/>
      <c r="G25" s="43">
        <v>1600</v>
      </c>
      <c r="H25" s="44"/>
      <c r="I25" s="43"/>
      <c r="J25" s="45"/>
    </row>
    <row r="26" spans="1:10">
      <c r="A26" s="41">
        <v>18</v>
      </c>
      <c r="B26" s="46">
        <v>46037</v>
      </c>
      <c r="C26" s="42" t="s">
        <v>1078</v>
      </c>
      <c r="D26" s="62" t="s">
        <v>1077</v>
      </c>
      <c r="E26" s="43"/>
      <c r="F26" s="44"/>
      <c r="G26" s="43">
        <v>450</v>
      </c>
      <c r="H26" s="44"/>
      <c r="I26" s="43"/>
      <c r="J26" s="45"/>
    </row>
    <row r="27" spans="1:10">
      <c r="A27" s="41">
        <v>19</v>
      </c>
      <c r="B27" s="46">
        <v>46037</v>
      </c>
      <c r="C27" s="42" t="s">
        <v>1079</v>
      </c>
      <c r="D27" s="62" t="s">
        <v>667</v>
      </c>
      <c r="E27" s="43"/>
      <c r="F27" s="44"/>
      <c r="G27" s="43">
        <v>1200</v>
      </c>
      <c r="H27" s="44"/>
      <c r="I27" s="43"/>
      <c r="J27" s="45"/>
    </row>
    <row r="28" spans="1:10">
      <c r="A28" s="41">
        <v>20</v>
      </c>
      <c r="B28" s="46">
        <v>46037</v>
      </c>
      <c r="C28" s="42" t="s">
        <v>1080</v>
      </c>
      <c r="D28" s="62" t="s">
        <v>1081</v>
      </c>
      <c r="E28" s="43"/>
      <c r="F28" s="44"/>
      <c r="G28" s="43">
        <v>105.36</v>
      </c>
      <c r="H28" s="44"/>
      <c r="I28" s="43"/>
      <c r="J28" s="45"/>
    </row>
    <row r="29" spans="1:10">
      <c r="A29" s="41">
        <v>21</v>
      </c>
      <c r="B29" s="46">
        <v>46037</v>
      </c>
      <c r="C29" s="42" t="s">
        <v>1082</v>
      </c>
      <c r="D29" s="62" t="s">
        <v>1083</v>
      </c>
      <c r="E29" s="43"/>
      <c r="F29" s="44"/>
      <c r="G29" s="43">
        <v>1400</v>
      </c>
      <c r="H29" s="44"/>
      <c r="I29" s="43"/>
      <c r="J29" s="45"/>
    </row>
    <row r="30" spans="1:10">
      <c r="A30" s="41">
        <v>22</v>
      </c>
      <c r="B30" s="46">
        <v>46037</v>
      </c>
      <c r="C30" s="42" t="s">
        <v>1084</v>
      </c>
      <c r="D30" s="62" t="s">
        <v>366</v>
      </c>
      <c r="E30" s="43"/>
      <c r="F30" s="44"/>
      <c r="G30" s="43">
        <v>1400</v>
      </c>
      <c r="H30" s="44"/>
      <c r="I30" s="43"/>
      <c r="J30" s="45"/>
    </row>
    <row r="31" spans="1:10">
      <c r="A31" s="41">
        <v>23</v>
      </c>
      <c r="B31" s="46">
        <v>46037</v>
      </c>
      <c r="C31" s="42" t="s">
        <v>1085</v>
      </c>
      <c r="D31" s="62" t="s">
        <v>1086</v>
      </c>
      <c r="E31" s="43"/>
      <c r="F31" s="44"/>
      <c r="G31" s="43">
        <v>57.52</v>
      </c>
      <c r="H31" s="44"/>
      <c r="I31" s="43"/>
      <c r="J31" s="45"/>
    </row>
    <row r="32" spans="1:10" s="9" customFormat="1" ht="12.45">
      <c r="A32" s="41">
        <v>24</v>
      </c>
      <c r="B32" s="46">
        <v>46037</v>
      </c>
      <c r="C32" s="42" t="s">
        <v>1087</v>
      </c>
      <c r="D32" s="62" t="s">
        <v>1088</v>
      </c>
      <c r="E32" s="43"/>
      <c r="F32" s="44"/>
      <c r="G32" s="43">
        <v>50</v>
      </c>
      <c r="H32" s="44"/>
      <c r="I32" s="43"/>
      <c r="J32" s="45"/>
    </row>
    <row r="33" spans="1:10">
      <c r="A33" s="41">
        <v>25</v>
      </c>
      <c r="B33" s="46">
        <v>46037</v>
      </c>
      <c r="C33" s="42" t="s">
        <v>1089</v>
      </c>
      <c r="D33" s="62" t="s">
        <v>1090</v>
      </c>
      <c r="E33" s="43"/>
      <c r="F33" s="44"/>
      <c r="G33" s="43">
        <v>400</v>
      </c>
      <c r="H33" s="44"/>
      <c r="I33" s="43"/>
      <c r="J33" s="45"/>
    </row>
    <row r="34" spans="1:10">
      <c r="A34" s="41">
        <v>26</v>
      </c>
      <c r="B34" s="46">
        <v>46037</v>
      </c>
      <c r="C34" s="42" t="s">
        <v>1091</v>
      </c>
      <c r="D34" s="62" t="s">
        <v>1092</v>
      </c>
      <c r="E34" s="43"/>
      <c r="F34" s="44"/>
      <c r="G34" s="43">
        <v>379.26</v>
      </c>
      <c r="H34" s="44"/>
      <c r="I34" s="43"/>
      <c r="J34" s="45"/>
    </row>
    <row r="35" spans="1:10">
      <c r="A35" s="41">
        <v>27</v>
      </c>
      <c r="B35" s="46">
        <v>46037</v>
      </c>
      <c r="C35" s="42" t="s">
        <v>1093</v>
      </c>
      <c r="D35" s="62" t="s">
        <v>1094</v>
      </c>
      <c r="E35" s="43"/>
      <c r="F35" s="44"/>
      <c r="G35" s="43">
        <v>1000</v>
      </c>
      <c r="H35" s="44"/>
      <c r="I35" s="43"/>
      <c r="J35" s="45"/>
    </row>
    <row r="36" spans="1:10">
      <c r="A36" s="41">
        <v>28</v>
      </c>
      <c r="B36" s="46">
        <v>46037</v>
      </c>
      <c r="C36" s="42" t="s">
        <v>1095</v>
      </c>
      <c r="D36" s="62" t="s">
        <v>1096</v>
      </c>
      <c r="E36" s="43"/>
      <c r="F36" s="44"/>
      <c r="G36" s="43">
        <v>130</v>
      </c>
      <c r="H36" s="44"/>
      <c r="I36" s="43"/>
      <c r="J36" s="45"/>
    </row>
    <row r="37" spans="1:10">
      <c r="A37" s="41">
        <v>29</v>
      </c>
      <c r="B37" s="46">
        <v>46037</v>
      </c>
      <c r="C37" s="42" t="s">
        <v>1097</v>
      </c>
      <c r="D37" s="62" t="s">
        <v>1098</v>
      </c>
      <c r="E37" s="43"/>
      <c r="F37" s="44"/>
      <c r="G37" s="43">
        <v>227.39</v>
      </c>
      <c r="H37" s="44"/>
      <c r="I37" s="43"/>
      <c r="J37" s="45"/>
    </row>
    <row r="38" spans="1:10">
      <c r="A38" s="41">
        <v>30</v>
      </c>
      <c r="B38" s="46">
        <v>46037</v>
      </c>
      <c r="C38" s="42" t="s">
        <v>1099</v>
      </c>
      <c r="D38" s="62" t="s">
        <v>1100</v>
      </c>
      <c r="E38" s="43"/>
      <c r="F38" s="44"/>
      <c r="G38" s="43">
        <v>1000</v>
      </c>
      <c r="H38" s="44"/>
      <c r="I38" s="43"/>
      <c r="J38" s="45"/>
    </row>
    <row r="39" spans="1:10">
      <c r="A39" s="41">
        <v>31</v>
      </c>
      <c r="B39" s="46">
        <v>46037</v>
      </c>
      <c r="C39" s="42" t="s">
        <v>1101</v>
      </c>
      <c r="D39" s="62" t="s">
        <v>1102</v>
      </c>
      <c r="E39" s="43"/>
      <c r="F39" s="44"/>
      <c r="G39" s="43">
        <v>300</v>
      </c>
      <c r="H39" s="44"/>
      <c r="I39" s="43"/>
      <c r="J39" s="45"/>
    </row>
    <row r="40" spans="1:10">
      <c r="A40" s="41">
        <v>32</v>
      </c>
      <c r="B40" s="46">
        <v>46037</v>
      </c>
      <c r="C40" s="42" t="s">
        <v>1103</v>
      </c>
      <c r="D40" s="62" t="s">
        <v>1104</v>
      </c>
      <c r="E40" s="43"/>
      <c r="F40" s="44"/>
      <c r="G40" s="43">
        <v>200</v>
      </c>
      <c r="H40" s="44"/>
      <c r="I40" s="43"/>
      <c r="J40" s="45"/>
    </row>
    <row r="41" spans="1:10">
      <c r="A41" s="41">
        <v>33</v>
      </c>
      <c r="B41" s="46">
        <v>46037</v>
      </c>
      <c r="C41" s="42" t="s">
        <v>1105</v>
      </c>
      <c r="D41" s="62" t="s">
        <v>315</v>
      </c>
      <c r="E41" s="43"/>
      <c r="F41" s="44"/>
      <c r="G41" s="43">
        <v>600</v>
      </c>
      <c r="H41" s="44"/>
      <c r="I41" s="43"/>
      <c r="J41" s="45"/>
    </row>
    <row r="42" spans="1:10" s="9" customFormat="1" ht="12.45">
      <c r="A42" s="41">
        <v>34</v>
      </c>
      <c r="B42" s="46">
        <v>46037</v>
      </c>
      <c r="C42" s="42" t="s">
        <v>1106</v>
      </c>
      <c r="D42" s="62" t="s">
        <v>1107</v>
      </c>
      <c r="E42" s="43"/>
      <c r="F42" s="44"/>
      <c r="G42" s="43"/>
      <c r="H42" s="44">
        <v>3108000</v>
      </c>
      <c r="I42" s="43"/>
      <c r="J42" s="45"/>
    </row>
    <row r="43" spans="1:10" s="9" customFormat="1" thickBot="1">
      <c r="A43" s="47"/>
      <c r="B43" s="48"/>
      <c r="C43" s="48"/>
      <c r="D43" s="68" t="s">
        <v>4</v>
      </c>
      <c r="E43" s="50"/>
      <c r="F43" s="49">
        <f>F8</f>
        <v>13143108</v>
      </c>
      <c r="G43" s="50">
        <v>35200.61</v>
      </c>
      <c r="H43" s="49">
        <v>3108000</v>
      </c>
      <c r="I43" s="50">
        <v>54494.37</v>
      </c>
      <c r="J43" s="51">
        <f>J7+F8-H43</f>
        <v>297074430</v>
      </c>
    </row>
    <row r="45" spans="1:10">
      <c r="H45" s="10" t="s">
        <v>14</v>
      </c>
    </row>
    <row r="46" spans="1:10">
      <c r="H46" s="11" t="s">
        <v>15</v>
      </c>
    </row>
    <row r="140" spans="52:52">
      <c r="AZ140" s="1" t="s">
        <v>5</v>
      </c>
    </row>
  </sheetData>
  <mergeCells count="9">
    <mergeCell ref="A1:E2"/>
    <mergeCell ref="A3:J4"/>
    <mergeCell ref="A5:A6"/>
    <mergeCell ref="B5:B6"/>
    <mergeCell ref="C5:C6"/>
    <mergeCell ref="D5:D6"/>
    <mergeCell ref="E5:F5"/>
    <mergeCell ref="G5:H5"/>
    <mergeCell ref="I5:J5"/>
  </mergeCells>
  <pageMargins left="0.5" right="0" top="0.5" bottom="0.5" header="0" footer="0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857DD-1789-416B-9DE4-3E0B704B9FA9}">
  <sheetPr>
    <tabColor rgb="FFFFFF00"/>
  </sheetPr>
  <dimension ref="A1:AZ140"/>
  <sheetViews>
    <sheetView zoomScaleNormal="100" workbookViewId="0">
      <selection activeCell="D22" sqref="D22"/>
    </sheetView>
  </sheetViews>
  <sheetFormatPr defaultColWidth="9.15234375" defaultRowHeight="12.9"/>
  <cols>
    <col min="1" max="1" width="4.23046875" style="1" bestFit="1" customWidth="1"/>
    <col min="2" max="2" width="6.84375" style="1" bestFit="1" customWidth="1"/>
    <col min="3" max="3" width="10.23046875" style="6" bestFit="1" customWidth="1"/>
    <col min="4" max="4" width="21.15234375" style="1" customWidth="1"/>
    <col min="5" max="5" width="8.4609375" style="7" bestFit="1" customWidth="1"/>
    <col min="6" max="6" width="8.4609375" style="1" bestFit="1" customWidth="1"/>
    <col min="7" max="7" width="8.84375" style="1" bestFit="1" customWidth="1"/>
    <col min="8" max="8" width="9.765625" style="1" bestFit="1" customWidth="1"/>
    <col min="9" max="9" width="8.84375" style="1" bestFit="1" customWidth="1"/>
    <col min="10" max="10" width="10.61328125" style="1" bestFit="1" customWidth="1"/>
    <col min="11" max="16384" width="9.15234375" style="1"/>
  </cols>
  <sheetData>
    <row r="1" spans="1:52" ht="28.3" customHeight="1">
      <c r="A1" s="79" t="s">
        <v>17</v>
      </c>
      <c r="B1" s="80"/>
      <c r="C1" s="80"/>
      <c r="D1" s="80"/>
      <c r="E1" s="80"/>
    </row>
    <row r="2" spans="1:52" ht="28.3" customHeight="1">
      <c r="A2" s="80"/>
      <c r="B2" s="80"/>
      <c r="C2" s="80"/>
      <c r="D2" s="80"/>
      <c r="E2" s="80"/>
    </row>
    <row r="3" spans="1:52">
      <c r="A3" s="81" t="s">
        <v>11</v>
      </c>
      <c r="B3" s="81"/>
      <c r="C3" s="81"/>
      <c r="D3" s="81"/>
      <c r="E3" s="81"/>
      <c r="F3" s="81"/>
      <c r="G3" s="81"/>
      <c r="H3" s="81"/>
      <c r="I3" s="81"/>
      <c r="J3" s="81"/>
      <c r="AS3" s="2">
        <v>43921</v>
      </c>
      <c r="AZ3" s="1">
        <f>(AQ3-4)*20000</f>
        <v>-80000</v>
      </c>
    </row>
    <row r="4" spans="1:52" ht="13.3" thickBot="1">
      <c r="A4" s="81"/>
      <c r="B4" s="81"/>
      <c r="C4" s="81"/>
      <c r="D4" s="81"/>
      <c r="E4" s="81"/>
      <c r="F4" s="81"/>
      <c r="G4" s="81"/>
      <c r="H4" s="81"/>
      <c r="I4" s="81"/>
      <c r="J4" s="81"/>
    </row>
    <row r="5" spans="1:52">
      <c r="A5" s="82" t="s">
        <v>0</v>
      </c>
      <c r="B5" s="84" t="s">
        <v>9</v>
      </c>
      <c r="C5" s="86" t="s">
        <v>1</v>
      </c>
      <c r="D5" s="84" t="s">
        <v>10</v>
      </c>
      <c r="E5" s="88" t="s">
        <v>13</v>
      </c>
      <c r="F5" s="88"/>
      <c r="G5" s="88" t="s">
        <v>8</v>
      </c>
      <c r="H5" s="88"/>
      <c r="I5" s="88" t="s">
        <v>7</v>
      </c>
      <c r="J5" s="89"/>
    </row>
    <row r="6" spans="1:52">
      <c r="A6" s="83"/>
      <c r="B6" s="85"/>
      <c r="C6" s="87"/>
      <c r="D6" s="85"/>
      <c r="E6" s="38" t="s">
        <v>2</v>
      </c>
      <c r="F6" s="39" t="s">
        <v>6</v>
      </c>
      <c r="G6" s="39" t="s">
        <v>2</v>
      </c>
      <c r="H6" s="39" t="s">
        <v>6</v>
      </c>
      <c r="I6" s="39" t="s">
        <v>2</v>
      </c>
      <c r="J6" s="40" t="s">
        <v>6</v>
      </c>
    </row>
    <row r="7" spans="1:52">
      <c r="A7" s="41"/>
      <c r="B7" s="42"/>
      <c r="C7" s="42"/>
      <c r="D7" s="62" t="s">
        <v>12</v>
      </c>
      <c r="E7" s="43"/>
      <c r="F7" s="44"/>
      <c r="G7" s="43"/>
      <c r="H7" s="44"/>
      <c r="I7" s="43">
        <v>54494.37</v>
      </c>
      <c r="J7" s="45">
        <v>297074430</v>
      </c>
    </row>
    <row r="8" spans="1:52">
      <c r="A8" s="41"/>
      <c r="B8" s="42"/>
      <c r="C8" s="42"/>
      <c r="D8" s="62" t="s">
        <v>16</v>
      </c>
      <c r="E8" s="43">
        <v>35200</v>
      </c>
      <c r="F8" s="44">
        <f>3108000+14762</f>
        <v>3122762</v>
      </c>
      <c r="G8" s="43"/>
      <c r="H8" s="44"/>
      <c r="I8" s="43"/>
      <c r="J8" s="45"/>
    </row>
    <row r="9" spans="1:52">
      <c r="A9" s="41">
        <v>1</v>
      </c>
      <c r="B9" s="46">
        <v>46038</v>
      </c>
      <c r="C9" s="42" t="s">
        <v>1108</v>
      </c>
      <c r="D9" s="62" t="s">
        <v>1109</v>
      </c>
      <c r="E9" s="43"/>
      <c r="F9" s="44"/>
      <c r="G9" s="43">
        <v>200</v>
      </c>
      <c r="H9" s="44"/>
      <c r="I9" s="43"/>
      <c r="J9" s="45"/>
    </row>
    <row r="10" spans="1:52">
      <c r="A10" s="41">
        <v>2</v>
      </c>
      <c r="B10" s="46">
        <v>46038</v>
      </c>
      <c r="C10" s="42" t="s">
        <v>1110</v>
      </c>
      <c r="D10" s="62" t="s">
        <v>1111</v>
      </c>
      <c r="E10" s="43"/>
      <c r="F10" s="44"/>
      <c r="G10" s="43">
        <v>192.58</v>
      </c>
      <c r="H10" s="44"/>
      <c r="I10" s="43"/>
      <c r="J10" s="45"/>
      <c r="AX10" s="5" t="s">
        <v>3</v>
      </c>
    </row>
    <row r="11" spans="1:52">
      <c r="A11" s="41">
        <v>3</v>
      </c>
      <c r="B11" s="46">
        <v>46038</v>
      </c>
      <c r="C11" s="42" t="s">
        <v>1112</v>
      </c>
      <c r="D11" s="62" t="s">
        <v>1113</v>
      </c>
      <c r="E11" s="43"/>
      <c r="F11" s="44"/>
      <c r="G11" s="43">
        <v>1300</v>
      </c>
      <c r="H11" s="44"/>
      <c r="I11" s="43"/>
      <c r="J11" s="45"/>
    </row>
    <row r="12" spans="1:52">
      <c r="A12" s="41">
        <v>4</v>
      </c>
      <c r="B12" s="46">
        <v>46038</v>
      </c>
      <c r="C12" s="42" t="s">
        <v>1114</v>
      </c>
      <c r="D12" s="62" t="s">
        <v>1115</v>
      </c>
      <c r="E12" s="43"/>
      <c r="F12" s="44"/>
      <c r="G12" s="43">
        <v>349.59</v>
      </c>
      <c r="H12" s="44"/>
      <c r="I12" s="43"/>
      <c r="J12" s="45"/>
    </row>
    <row r="13" spans="1:52">
      <c r="A13" s="41">
        <v>5</v>
      </c>
      <c r="B13" s="46">
        <v>46038</v>
      </c>
      <c r="C13" s="42" t="s">
        <v>1116</v>
      </c>
      <c r="D13" s="62" t="s">
        <v>287</v>
      </c>
      <c r="E13" s="43"/>
      <c r="F13" s="44"/>
      <c r="G13" s="43">
        <v>107.64</v>
      </c>
      <c r="H13" s="44"/>
      <c r="I13" s="43"/>
      <c r="J13" s="45"/>
    </row>
    <row r="14" spans="1:52">
      <c r="A14" s="41">
        <v>6</v>
      </c>
      <c r="B14" s="46">
        <v>46038</v>
      </c>
      <c r="C14" s="42" t="s">
        <v>1117</v>
      </c>
      <c r="D14" s="62" t="s">
        <v>1118</v>
      </c>
      <c r="E14" s="43"/>
      <c r="F14" s="44"/>
      <c r="G14" s="43">
        <v>60.44</v>
      </c>
      <c r="H14" s="44"/>
      <c r="I14" s="43"/>
      <c r="J14" s="45"/>
    </row>
    <row r="15" spans="1:52">
      <c r="A15" s="41">
        <v>7</v>
      </c>
      <c r="B15" s="46">
        <v>46038</v>
      </c>
      <c r="C15" s="42" t="s">
        <v>1119</v>
      </c>
      <c r="D15" s="62" t="s">
        <v>1120</v>
      </c>
      <c r="E15" s="43"/>
      <c r="F15" s="44"/>
      <c r="G15" s="43">
        <v>315</v>
      </c>
      <c r="H15" s="44"/>
      <c r="I15" s="43"/>
      <c r="J15" s="45"/>
    </row>
    <row r="16" spans="1:52">
      <c r="A16" s="41">
        <v>8</v>
      </c>
      <c r="B16" s="46">
        <v>46038</v>
      </c>
      <c r="C16" s="42" t="s">
        <v>1121</v>
      </c>
      <c r="D16" s="62" t="s">
        <v>1120</v>
      </c>
      <c r="E16" s="43"/>
      <c r="F16" s="44"/>
      <c r="G16" s="43">
        <v>2510</v>
      </c>
      <c r="H16" s="44"/>
      <c r="I16" s="43"/>
      <c r="J16" s="45"/>
    </row>
    <row r="17" spans="1:10">
      <c r="A17" s="41">
        <v>9</v>
      </c>
      <c r="B17" s="46">
        <v>46038</v>
      </c>
      <c r="C17" s="42" t="s">
        <v>1122</v>
      </c>
      <c r="D17" s="62" t="s">
        <v>1123</v>
      </c>
      <c r="E17" s="43"/>
      <c r="F17" s="44"/>
      <c r="G17" s="43">
        <v>79.25</v>
      </c>
      <c r="H17" s="44"/>
      <c r="I17" s="43"/>
      <c r="J17" s="45"/>
    </row>
    <row r="18" spans="1:10">
      <c r="A18" s="41">
        <v>10</v>
      </c>
      <c r="B18" s="46">
        <v>46038</v>
      </c>
      <c r="C18" s="42" t="s">
        <v>1124</v>
      </c>
      <c r="D18" s="62" t="s">
        <v>1125</v>
      </c>
      <c r="E18" s="43"/>
      <c r="F18" s="44"/>
      <c r="G18" s="43">
        <v>700</v>
      </c>
      <c r="H18" s="44"/>
      <c r="I18" s="43"/>
      <c r="J18" s="45"/>
    </row>
    <row r="19" spans="1:10">
      <c r="A19" s="41">
        <v>11</v>
      </c>
      <c r="B19" s="46">
        <v>46038</v>
      </c>
      <c r="C19" s="42" t="s">
        <v>1126</v>
      </c>
      <c r="D19" s="62" t="s">
        <v>1127</v>
      </c>
      <c r="E19" s="43"/>
      <c r="F19" s="44"/>
      <c r="G19" s="43">
        <v>200</v>
      </c>
      <c r="H19" s="44"/>
      <c r="I19" s="43"/>
      <c r="J19" s="45"/>
    </row>
    <row r="20" spans="1:10">
      <c r="A20" s="41">
        <v>12</v>
      </c>
      <c r="B20" s="46">
        <v>46038</v>
      </c>
      <c r="C20" s="42" t="s">
        <v>1128</v>
      </c>
      <c r="D20" s="62" t="s">
        <v>1129</v>
      </c>
      <c r="E20" s="43"/>
      <c r="F20" s="44"/>
      <c r="G20" s="43">
        <v>1000</v>
      </c>
      <c r="H20" s="44"/>
      <c r="I20" s="43"/>
      <c r="J20" s="45"/>
    </row>
    <row r="21" spans="1:10" ht="21.9">
      <c r="A21" s="41">
        <v>13</v>
      </c>
      <c r="B21" s="46">
        <v>46038</v>
      </c>
      <c r="C21" s="42" t="s">
        <v>1130</v>
      </c>
      <c r="D21" s="70" t="s">
        <v>2064</v>
      </c>
      <c r="E21" s="43"/>
      <c r="F21" s="44"/>
      <c r="G21" s="43">
        <v>229.25</v>
      </c>
      <c r="H21" s="44"/>
      <c r="I21" s="43"/>
      <c r="J21" s="45"/>
    </row>
    <row r="22" spans="1:10">
      <c r="A22" s="41">
        <v>14</v>
      </c>
      <c r="B22" s="46">
        <v>46038</v>
      </c>
      <c r="C22" s="42" t="s">
        <v>1131</v>
      </c>
      <c r="D22" s="62" t="s">
        <v>1132</v>
      </c>
      <c r="E22" s="43"/>
      <c r="F22" s="44"/>
      <c r="G22" s="43">
        <v>4800</v>
      </c>
      <c r="H22" s="44"/>
      <c r="I22" s="43"/>
      <c r="J22" s="45"/>
    </row>
    <row r="23" spans="1:10">
      <c r="A23" s="41">
        <v>15</v>
      </c>
      <c r="B23" s="46">
        <v>46038</v>
      </c>
      <c r="C23" s="42" t="s">
        <v>1133</v>
      </c>
      <c r="D23" s="62" t="s">
        <v>1134</v>
      </c>
      <c r="E23" s="43"/>
      <c r="F23" s="44"/>
      <c r="G23" s="43">
        <v>300</v>
      </c>
      <c r="H23" s="44"/>
      <c r="I23" s="43"/>
      <c r="J23" s="45"/>
    </row>
    <row r="24" spans="1:10">
      <c r="A24" s="41">
        <v>16</v>
      </c>
      <c r="B24" s="46">
        <v>46038</v>
      </c>
      <c r="C24" s="42" t="s">
        <v>1135</v>
      </c>
      <c r="D24" s="62" t="s">
        <v>1136</v>
      </c>
      <c r="E24" s="43"/>
      <c r="F24" s="44"/>
      <c r="G24" s="43">
        <v>167.26</v>
      </c>
      <c r="H24" s="44"/>
      <c r="I24" s="43"/>
      <c r="J24" s="45"/>
    </row>
    <row r="25" spans="1:10">
      <c r="A25" s="41">
        <v>17</v>
      </c>
      <c r="B25" s="46">
        <v>46038</v>
      </c>
      <c r="C25" s="42" t="s">
        <v>1137</v>
      </c>
      <c r="D25" s="62" t="s">
        <v>1138</v>
      </c>
      <c r="E25" s="43"/>
      <c r="F25" s="44"/>
      <c r="G25" s="43">
        <v>300</v>
      </c>
      <c r="H25" s="44"/>
      <c r="I25" s="43"/>
      <c r="J25" s="45"/>
    </row>
    <row r="26" spans="1:10">
      <c r="A26" s="41">
        <v>18</v>
      </c>
      <c r="B26" s="46">
        <v>46038</v>
      </c>
      <c r="C26" s="42" t="s">
        <v>1139</v>
      </c>
      <c r="D26" s="62" t="s">
        <v>1140</v>
      </c>
      <c r="E26" s="43"/>
      <c r="F26" s="44"/>
      <c r="G26" s="43">
        <v>300</v>
      </c>
      <c r="H26" s="44"/>
      <c r="I26" s="43"/>
      <c r="J26" s="45"/>
    </row>
    <row r="27" spans="1:10">
      <c r="A27" s="41">
        <v>19</v>
      </c>
      <c r="B27" s="46">
        <v>46038</v>
      </c>
      <c r="C27" s="42" t="s">
        <v>1141</v>
      </c>
      <c r="D27" s="62" t="s">
        <v>1142</v>
      </c>
      <c r="E27" s="43"/>
      <c r="F27" s="44"/>
      <c r="G27" s="43">
        <v>3000</v>
      </c>
      <c r="H27" s="44"/>
      <c r="I27" s="43"/>
      <c r="J27" s="45"/>
    </row>
    <row r="28" spans="1:10">
      <c r="A28" s="41">
        <v>20</v>
      </c>
      <c r="B28" s="46">
        <v>46038</v>
      </c>
      <c r="C28" s="42" t="s">
        <v>1143</v>
      </c>
      <c r="D28" s="62" t="s">
        <v>1144</v>
      </c>
      <c r="E28" s="43"/>
      <c r="F28" s="44"/>
      <c r="G28" s="43">
        <v>100</v>
      </c>
      <c r="H28" s="44"/>
      <c r="I28" s="43"/>
      <c r="J28" s="45"/>
    </row>
    <row r="29" spans="1:10">
      <c r="A29" s="41">
        <v>21</v>
      </c>
      <c r="B29" s="46">
        <v>46038</v>
      </c>
      <c r="C29" s="42" t="s">
        <v>1145</v>
      </c>
      <c r="D29" s="62" t="s">
        <v>1146</v>
      </c>
      <c r="E29" s="43"/>
      <c r="F29" s="44"/>
      <c r="G29" s="43">
        <v>6000</v>
      </c>
      <c r="H29" s="44"/>
      <c r="I29" s="43"/>
      <c r="J29" s="45"/>
    </row>
    <row r="30" spans="1:10">
      <c r="A30" s="41">
        <v>22</v>
      </c>
      <c r="B30" s="46">
        <v>46038</v>
      </c>
      <c r="C30" s="42" t="s">
        <v>1147</v>
      </c>
      <c r="D30" s="62" t="s">
        <v>1148</v>
      </c>
      <c r="E30" s="43"/>
      <c r="F30" s="44"/>
      <c r="G30" s="43">
        <v>122.01</v>
      </c>
      <c r="H30" s="44"/>
      <c r="I30" s="43"/>
      <c r="J30" s="45"/>
    </row>
    <row r="31" spans="1:10">
      <c r="A31" s="41">
        <v>23</v>
      </c>
      <c r="B31" s="46">
        <v>46038</v>
      </c>
      <c r="C31" s="42" t="s">
        <v>1149</v>
      </c>
      <c r="D31" s="62" t="s">
        <v>747</v>
      </c>
      <c r="E31" s="43"/>
      <c r="F31" s="44"/>
      <c r="G31" s="43">
        <v>450</v>
      </c>
      <c r="H31" s="44"/>
      <c r="I31" s="43"/>
      <c r="J31" s="45"/>
    </row>
    <row r="32" spans="1:10" s="9" customFormat="1" ht="12.45">
      <c r="A32" s="41">
        <v>24</v>
      </c>
      <c r="B32" s="46">
        <v>46038</v>
      </c>
      <c r="C32" s="42" t="s">
        <v>1150</v>
      </c>
      <c r="D32" s="62" t="s">
        <v>1151</v>
      </c>
      <c r="E32" s="43"/>
      <c r="F32" s="44"/>
      <c r="G32" s="43">
        <v>1000</v>
      </c>
      <c r="H32" s="44"/>
      <c r="I32" s="43"/>
      <c r="J32" s="45"/>
    </row>
    <row r="33" spans="1:10">
      <c r="A33" s="41">
        <v>25</v>
      </c>
      <c r="B33" s="46">
        <v>46038</v>
      </c>
      <c r="C33" s="42" t="s">
        <v>1152</v>
      </c>
      <c r="D33" s="62" t="s">
        <v>1153</v>
      </c>
      <c r="E33" s="43"/>
      <c r="F33" s="44"/>
      <c r="G33" s="43">
        <v>1000</v>
      </c>
      <c r="H33" s="44"/>
      <c r="I33" s="43"/>
      <c r="J33" s="45"/>
    </row>
    <row r="34" spans="1:10">
      <c r="A34" s="41">
        <v>26</v>
      </c>
      <c r="B34" s="46">
        <v>46038</v>
      </c>
      <c r="C34" s="42" t="s">
        <v>1154</v>
      </c>
      <c r="D34" s="62" t="s">
        <v>1155</v>
      </c>
      <c r="E34" s="43"/>
      <c r="F34" s="44"/>
      <c r="G34" s="43">
        <v>253.48</v>
      </c>
      <c r="H34" s="44"/>
      <c r="I34" s="43"/>
      <c r="J34" s="45"/>
    </row>
    <row r="35" spans="1:10">
      <c r="A35" s="41">
        <v>27</v>
      </c>
      <c r="B35" s="46">
        <v>46038</v>
      </c>
      <c r="C35" s="42" t="s">
        <v>1156</v>
      </c>
      <c r="D35" s="62" t="s">
        <v>1157</v>
      </c>
      <c r="E35" s="43"/>
      <c r="F35" s="44"/>
      <c r="G35" s="43">
        <v>482.33</v>
      </c>
      <c r="H35" s="44"/>
      <c r="I35" s="43"/>
      <c r="J35" s="45"/>
    </row>
    <row r="36" spans="1:10">
      <c r="A36" s="41">
        <v>28</v>
      </c>
      <c r="B36" s="46">
        <v>46038</v>
      </c>
      <c r="C36" s="42" t="s">
        <v>1158</v>
      </c>
      <c r="D36" s="62" t="s">
        <v>164</v>
      </c>
      <c r="E36" s="43"/>
      <c r="F36" s="44"/>
      <c r="G36" s="43">
        <v>1500</v>
      </c>
      <c r="H36" s="44"/>
      <c r="I36" s="43"/>
      <c r="J36" s="45"/>
    </row>
    <row r="37" spans="1:10">
      <c r="A37" s="41">
        <v>29</v>
      </c>
      <c r="B37" s="46">
        <v>46038</v>
      </c>
      <c r="C37" s="42" t="s">
        <v>1159</v>
      </c>
      <c r="D37" s="62" t="s">
        <v>1160</v>
      </c>
      <c r="E37" s="43"/>
      <c r="F37" s="44"/>
      <c r="G37" s="43">
        <v>500</v>
      </c>
      <c r="H37" s="44"/>
      <c r="I37" s="43"/>
      <c r="J37" s="45"/>
    </row>
    <row r="38" spans="1:10">
      <c r="A38" s="41">
        <v>30</v>
      </c>
      <c r="B38" s="46">
        <v>46038</v>
      </c>
      <c r="C38" s="42" t="s">
        <v>1161</v>
      </c>
      <c r="D38" s="62" t="s">
        <v>1162</v>
      </c>
      <c r="E38" s="43"/>
      <c r="F38" s="44"/>
      <c r="G38" s="43">
        <v>100</v>
      </c>
      <c r="H38" s="44"/>
      <c r="I38" s="43"/>
      <c r="J38" s="45"/>
    </row>
    <row r="39" spans="1:10">
      <c r="A39" s="41">
        <v>31</v>
      </c>
      <c r="B39" s="46">
        <v>46038</v>
      </c>
      <c r="C39" s="42" t="s">
        <v>1163</v>
      </c>
      <c r="D39" s="62" t="s">
        <v>179</v>
      </c>
      <c r="E39" s="43"/>
      <c r="F39" s="44"/>
      <c r="G39" s="43">
        <v>200</v>
      </c>
      <c r="H39" s="44"/>
      <c r="I39" s="43"/>
      <c r="J39" s="45"/>
    </row>
    <row r="40" spans="1:10">
      <c r="A40" s="41">
        <v>32</v>
      </c>
      <c r="B40" s="46">
        <v>46038</v>
      </c>
      <c r="C40" s="42" t="s">
        <v>1164</v>
      </c>
      <c r="D40" s="62" t="s">
        <v>1165</v>
      </c>
      <c r="E40" s="43"/>
      <c r="F40" s="44"/>
      <c r="G40" s="43">
        <v>800</v>
      </c>
      <c r="H40" s="44"/>
      <c r="I40" s="43"/>
      <c r="J40" s="45"/>
    </row>
    <row r="41" spans="1:10">
      <c r="A41" s="41">
        <v>33</v>
      </c>
      <c r="B41" s="46">
        <v>46038</v>
      </c>
      <c r="C41" s="42" t="s">
        <v>1166</v>
      </c>
      <c r="D41" s="62" t="s">
        <v>1167</v>
      </c>
      <c r="E41" s="43"/>
      <c r="F41" s="44"/>
      <c r="G41" s="43">
        <v>1560</v>
      </c>
      <c r="H41" s="44"/>
      <c r="I41" s="43"/>
      <c r="J41" s="45"/>
    </row>
    <row r="42" spans="1:10" s="9" customFormat="1" ht="12.45">
      <c r="A42" s="41">
        <v>34</v>
      </c>
      <c r="B42" s="46">
        <v>46038</v>
      </c>
      <c r="C42" s="42" t="s">
        <v>1168</v>
      </c>
      <c r="D42" s="62" t="s">
        <v>1169</v>
      </c>
      <c r="E42" s="43"/>
      <c r="F42" s="44"/>
      <c r="G42" s="43">
        <v>500</v>
      </c>
      <c r="H42" s="44"/>
      <c r="I42" s="43"/>
      <c r="J42" s="45"/>
    </row>
    <row r="43" spans="1:10" s="9" customFormat="1" ht="12.45">
      <c r="A43" s="41">
        <v>35</v>
      </c>
      <c r="B43" s="46">
        <v>46038</v>
      </c>
      <c r="C43" s="42" t="s">
        <v>1170</v>
      </c>
      <c r="D43" s="62" t="s">
        <v>1171</v>
      </c>
      <c r="E43" s="43"/>
      <c r="F43" s="44"/>
      <c r="G43" s="43">
        <v>318.52</v>
      </c>
      <c r="H43" s="44"/>
      <c r="I43" s="43"/>
      <c r="J43" s="45"/>
    </row>
    <row r="44" spans="1:10">
      <c r="A44" s="41">
        <v>36</v>
      </c>
      <c r="B44" s="46">
        <v>46038</v>
      </c>
      <c r="C44" s="42" t="s">
        <v>1172</v>
      </c>
      <c r="D44" s="62" t="s">
        <v>153</v>
      </c>
      <c r="E44" s="43"/>
      <c r="F44" s="44"/>
      <c r="G44" s="43">
        <v>650</v>
      </c>
      <c r="H44" s="44"/>
      <c r="I44" s="43"/>
      <c r="J44" s="45"/>
    </row>
    <row r="45" spans="1:10">
      <c r="A45" s="41">
        <v>37</v>
      </c>
      <c r="B45" s="46">
        <v>46038</v>
      </c>
      <c r="C45" s="42" t="s">
        <v>1173</v>
      </c>
      <c r="D45" s="62" t="s">
        <v>1174</v>
      </c>
      <c r="E45" s="43"/>
      <c r="F45" s="44"/>
      <c r="G45" s="43">
        <v>84.32</v>
      </c>
      <c r="H45" s="44"/>
      <c r="I45" s="43"/>
      <c r="J45" s="45"/>
    </row>
    <row r="46" spans="1:10">
      <c r="A46" s="41">
        <v>38</v>
      </c>
      <c r="B46" s="46">
        <v>46038</v>
      </c>
      <c r="C46" s="42" t="s">
        <v>1175</v>
      </c>
      <c r="D46" s="62" t="s">
        <v>1176</v>
      </c>
      <c r="E46" s="43"/>
      <c r="F46" s="44"/>
      <c r="G46" s="43">
        <v>169.49</v>
      </c>
      <c r="H46" s="44"/>
      <c r="I46" s="43"/>
      <c r="J46" s="45"/>
    </row>
    <row r="47" spans="1:10">
      <c r="A47" s="41">
        <v>39</v>
      </c>
      <c r="B47" s="46">
        <v>46038</v>
      </c>
      <c r="C47" s="42" t="s">
        <v>1177</v>
      </c>
      <c r="D47" s="62" t="s">
        <v>1104</v>
      </c>
      <c r="E47" s="43"/>
      <c r="F47" s="44"/>
      <c r="G47" s="43">
        <v>80</v>
      </c>
      <c r="H47" s="44"/>
      <c r="I47" s="43"/>
      <c r="J47" s="45"/>
    </row>
    <row r="48" spans="1:10">
      <c r="A48" s="41">
        <v>40</v>
      </c>
      <c r="B48" s="46">
        <v>46038</v>
      </c>
      <c r="C48" s="42" t="s">
        <v>1178</v>
      </c>
      <c r="D48" s="62" t="s">
        <v>1179</v>
      </c>
      <c r="E48" s="43"/>
      <c r="F48" s="44"/>
      <c r="G48" s="43"/>
      <c r="H48" s="44">
        <v>796000</v>
      </c>
      <c r="I48" s="43"/>
      <c r="J48" s="45"/>
    </row>
    <row r="49" spans="1:10">
      <c r="A49" s="41">
        <v>41</v>
      </c>
      <c r="B49" s="46">
        <v>46038</v>
      </c>
      <c r="C49" s="42" t="s">
        <v>1180</v>
      </c>
      <c r="D49" s="62" t="s">
        <v>1181</v>
      </c>
      <c r="E49" s="43"/>
      <c r="F49" s="44"/>
      <c r="G49" s="43"/>
      <c r="H49" s="44">
        <v>6838000</v>
      </c>
      <c r="I49" s="43"/>
      <c r="J49" s="45"/>
    </row>
    <row r="50" spans="1:10">
      <c r="A50" s="41">
        <v>42</v>
      </c>
      <c r="B50" s="46">
        <v>46038</v>
      </c>
      <c r="C50" s="42" t="s">
        <v>1182</v>
      </c>
      <c r="D50" s="62" t="s">
        <v>1183</v>
      </c>
      <c r="E50" s="43"/>
      <c r="F50" s="44"/>
      <c r="G50" s="43"/>
      <c r="H50" s="44">
        <v>3000000</v>
      </c>
      <c r="I50" s="43"/>
      <c r="J50" s="45"/>
    </row>
    <row r="51" spans="1:10">
      <c r="A51" s="41">
        <v>43</v>
      </c>
      <c r="B51" s="46">
        <v>46038</v>
      </c>
      <c r="C51" s="42" t="s">
        <v>1184</v>
      </c>
      <c r="D51" s="62" t="s">
        <v>1181</v>
      </c>
      <c r="E51" s="43"/>
      <c r="F51" s="44"/>
      <c r="G51" s="43"/>
      <c r="H51" s="44">
        <v>4785000</v>
      </c>
      <c r="I51" s="43"/>
      <c r="J51" s="45"/>
    </row>
    <row r="52" spans="1:10" s="9" customFormat="1" thickBot="1">
      <c r="A52" s="47"/>
      <c r="B52" s="48"/>
      <c r="C52" s="48"/>
      <c r="D52" s="48" t="s">
        <v>4</v>
      </c>
      <c r="E52" s="50"/>
      <c r="F52" s="49"/>
      <c r="G52" s="50">
        <v>31981.16</v>
      </c>
      <c r="H52" s="49">
        <v>15419000</v>
      </c>
      <c r="I52" s="50">
        <v>57713.21</v>
      </c>
      <c r="J52" s="51">
        <f>J7+F8-H52</f>
        <v>284778192</v>
      </c>
    </row>
    <row r="53" spans="1:10" ht="14.6">
      <c r="A53"/>
      <c r="B53"/>
      <c r="C53"/>
      <c r="D53"/>
      <c r="E53" s="15"/>
      <c r="F53" s="16"/>
      <c r="G53" s="15"/>
      <c r="H53" s="16"/>
      <c r="I53" s="15"/>
      <c r="J53" s="16"/>
    </row>
    <row r="54" spans="1:10">
      <c r="H54" s="10" t="s">
        <v>14</v>
      </c>
    </row>
    <row r="55" spans="1:10">
      <c r="H55" s="11" t="s">
        <v>15</v>
      </c>
    </row>
    <row r="140" spans="52:52">
      <c r="AZ140" s="1" t="s">
        <v>5</v>
      </c>
    </row>
  </sheetData>
  <mergeCells count="9">
    <mergeCell ref="A1:E2"/>
    <mergeCell ref="A3:J4"/>
    <mergeCell ref="A5:A6"/>
    <mergeCell ref="B5:B6"/>
    <mergeCell ref="C5:C6"/>
    <mergeCell ref="D5:D6"/>
    <mergeCell ref="E5:F5"/>
    <mergeCell ref="G5:H5"/>
    <mergeCell ref="I5:J5"/>
  </mergeCells>
  <pageMargins left="0.5" right="0" top="0.5" bottom="1" header="0" footer="0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9D2BF-8B83-4428-885A-17AAAEDB8301}">
  <sheetPr>
    <tabColor rgb="FFFFFF00"/>
  </sheetPr>
  <dimension ref="A1:AZ136"/>
  <sheetViews>
    <sheetView topLeftCell="A37" zoomScaleNormal="100" workbookViewId="0">
      <selection activeCell="H42" sqref="H42:H47"/>
    </sheetView>
  </sheetViews>
  <sheetFormatPr defaultColWidth="9.15234375" defaultRowHeight="12.9"/>
  <cols>
    <col min="1" max="1" width="4.23046875" style="1" bestFit="1" customWidth="1"/>
    <col min="2" max="2" width="6.84375" style="1" bestFit="1" customWidth="1"/>
    <col min="3" max="3" width="10.23046875" style="6" bestFit="1" customWidth="1"/>
    <col min="4" max="4" width="23.23046875" style="1" customWidth="1"/>
    <col min="5" max="5" width="4" style="7" bestFit="1" customWidth="1"/>
    <col min="6" max="6" width="4.23046875" style="1" bestFit="1" customWidth="1"/>
    <col min="7" max="7" width="8.84375" style="1" bestFit="1" customWidth="1"/>
    <col min="8" max="8" width="9.765625" style="1" bestFit="1" customWidth="1"/>
    <col min="9" max="9" width="8.84375" style="1" bestFit="1" customWidth="1"/>
    <col min="10" max="10" width="10.61328125" style="1" bestFit="1" customWidth="1"/>
    <col min="11" max="16384" width="9.15234375" style="1"/>
  </cols>
  <sheetData>
    <row r="1" spans="1:52" ht="28.3" customHeight="1">
      <c r="A1" s="79" t="s">
        <v>17</v>
      </c>
      <c r="B1" s="80"/>
      <c r="C1" s="80"/>
      <c r="D1" s="80"/>
      <c r="E1" s="80"/>
    </row>
    <row r="2" spans="1:52" ht="28.3" customHeight="1">
      <c r="A2" s="80"/>
      <c r="B2" s="80"/>
      <c r="C2" s="80"/>
      <c r="D2" s="80"/>
      <c r="E2" s="80"/>
    </row>
    <row r="3" spans="1:52">
      <c r="A3" s="81" t="s">
        <v>11</v>
      </c>
      <c r="B3" s="81"/>
      <c r="C3" s="81"/>
      <c r="D3" s="81"/>
      <c r="E3" s="81"/>
      <c r="F3" s="81"/>
      <c r="G3" s="81"/>
      <c r="H3" s="81"/>
      <c r="I3" s="81"/>
      <c r="J3" s="81"/>
      <c r="AS3" s="2">
        <v>43921</v>
      </c>
      <c r="AZ3" s="1">
        <f>(AQ3-4)*20000</f>
        <v>-80000</v>
      </c>
    </row>
    <row r="4" spans="1:52" ht="13.3" thickBot="1">
      <c r="A4" s="81"/>
      <c r="B4" s="81"/>
      <c r="C4" s="81"/>
      <c r="D4" s="81"/>
      <c r="E4" s="81"/>
      <c r="F4" s="81"/>
      <c r="G4" s="81"/>
      <c r="H4" s="81"/>
      <c r="I4" s="81"/>
      <c r="J4" s="81"/>
    </row>
    <row r="5" spans="1:52">
      <c r="A5" s="82" t="s">
        <v>0</v>
      </c>
      <c r="B5" s="84" t="s">
        <v>9</v>
      </c>
      <c r="C5" s="86" t="s">
        <v>1</v>
      </c>
      <c r="D5" s="84" t="s">
        <v>10</v>
      </c>
      <c r="E5" s="88" t="s">
        <v>13</v>
      </c>
      <c r="F5" s="88"/>
      <c r="G5" s="88" t="s">
        <v>8</v>
      </c>
      <c r="H5" s="88"/>
      <c r="I5" s="88" t="s">
        <v>7</v>
      </c>
      <c r="J5" s="89"/>
    </row>
    <row r="6" spans="1:52">
      <c r="A6" s="83"/>
      <c r="B6" s="85"/>
      <c r="C6" s="87"/>
      <c r="D6" s="85"/>
      <c r="E6" s="38" t="s">
        <v>2</v>
      </c>
      <c r="F6" s="39" t="s">
        <v>6</v>
      </c>
      <c r="G6" s="39" t="s">
        <v>2</v>
      </c>
      <c r="H6" s="39" t="s">
        <v>6</v>
      </c>
      <c r="I6" s="39" t="s">
        <v>2</v>
      </c>
      <c r="J6" s="40" t="s">
        <v>6</v>
      </c>
    </row>
    <row r="7" spans="1:52">
      <c r="A7" s="41"/>
      <c r="B7" s="42"/>
      <c r="C7" s="42"/>
      <c r="D7" s="42" t="s">
        <v>12</v>
      </c>
      <c r="E7" s="43"/>
      <c r="F7" s="44"/>
      <c r="G7" s="43"/>
      <c r="H7" s="44"/>
      <c r="I7" s="43">
        <v>57713.21</v>
      </c>
      <c r="J7" s="45">
        <v>284778192</v>
      </c>
    </row>
    <row r="8" spans="1:52">
      <c r="A8" s="41"/>
      <c r="B8" s="42"/>
      <c r="C8" s="42"/>
      <c r="D8" s="42" t="s">
        <v>16</v>
      </c>
      <c r="E8" s="43">
        <v>0</v>
      </c>
      <c r="F8" s="44">
        <v>0</v>
      </c>
      <c r="G8" s="43"/>
      <c r="H8" s="44"/>
      <c r="I8" s="43"/>
      <c r="J8" s="45"/>
    </row>
    <row r="9" spans="1:52">
      <c r="A9" s="41">
        <v>1</v>
      </c>
      <c r="B9" s="46">
        <v>46039</v>
      </c>
      <c r="C9" s="42" t="s">
        <v>1185</v>
      </c>
      <c r="D9" s="42" t="s">
        <v>1113</v>
      </c>
      <c r="E9" s="43"/>
      <c r="F9" s="44"/>
      <c r="G9" s="43">
        <v>2737.23</v>
      </c>
      <c r="H9" s="44"/>
      <c r="I9" s="43"/>
      <c r="J9" s="45"/>
    </row>
    <row r="10" spans="1:52">
      <c r="A10" s="41">
        <v>2</v>
      </c>
      <c r="B10" s="46">
        <v>46039</v>
      </c>
      <c r="C10" s="42" t="s">
        <v>1186</v>
      </c>
      <c r="D10" s="42" t="s">
        <v>1187</v>
      </c>
      <c r="E10" s="43"/>
      <c r="F10" s="44"/>
      <c r="G10" s="43">
        <v>350</v>
      </c>
      <c r="H10" s="44"/>
      <c r="I10" s="43"/>
      <c r="J10" s="45"/>
      <c r="AX10" s="5" t="s">
        <v>3</v>
      </c>
    </row>
    <row r="11" spans="1:52">
      <c r="A11" s="41">
        <v>3</v>
      </c>
      <c r="B11" s="46">
        <v>46039</v>
      </c>
      <c r="C11" s="42" t="s">
        <v>1188</v>
      </c>
      <c r="D11" s="42" t="s">
        <v>1189</v>
      </c>
      <c r="E11" s="43"/>
      <c r="F11" s="44"/>
      <c r="G11" s="43">
        <v>200</v>
      </c>
      <c r="H11" s="44"/>
      <c r="I11" s="43"/>
      <c r="J11" s="45"/>
    </row>
    <row r="12" spans="1:52">
      <c r="A12" s="41">
        <v>4</v>
      </c>
      <c r="B12" s="46">
        <v>46039</v>
      </c>
      <c r="C12" s="42" t="s">
        <v>1190</v>
      </c>
      <c r="D12" s="42" t="s">
        <v>428</v>
      </c>
      <c r="E12" s="43"/>
      <c r="F12" s="44"/>
      <c r="G12" s="43">
        <v>1307.9000000000001</v>
      </c>
      <c r="H12" s="44"/>
      <c r="I12" s="43"/>
      <c r="J12" s="45"/>
    </row>
    <row r="13" spans="1:52">
      <c r="A13" s="41">
        <v>5</v>
      </c>
      <c r="B13" s="46">
        <v>46039</v>
      </c>
      <c r="C13" s="42" t="s">
        <v>1191</v>
      </c>
      <c r="D13" s="42" t="s">
        <v>1192</v>
      </c>
      <c r="E13" s="43"/>
      <c r="F13" s="44"/>
      <c r="G13" s="43">
        <v>1300</v>
      </c>
      <c r="H13" s="44"/>
      <c r="I13" s="43"/>
      <c r="J13" s="45"/>
    </row>
    <row r="14" spans="1:52">
      <c r="A14" s="41">
        <v>6</v>
      </c>
      <c r="B14" s="46">
        <v>46039</v>
      </c>
      <c r="C14" s="42" t="s">
        <v>1193</v>
      </c>
      <c r="D14" s="42" t="s">
        <v>36</v>
      </c>
      <c r="E14" s="43"/>
      <c r="F14" s="44"/>
      <c r="G14" s="43">
        <v>1677.2</v>
      </c>
      <c r="H14" s="44"/>
      <c r="I14" s="43"/>
      <c r="J14" s="45"/>
    </row>
    <row r="15" spans="1:52">
      <c r="A15" s="41">
        <v>7</v>
      </c>
      <c r="B15" s="46">
        <v>46039</v>
      </c>
      <c r="C15" s="42" t="s">
        <v>1194</v>
      </c>
      <c r="D15" s="42" t="s">
        <v>1195</v>
      </c>
      <c r="E15" s="43"/>
      <c r="F15" s="44"/>
      <c r="G15" s="43">
        <v>225.73</v>
      </c>
      <c r="H15" s="44"/>
      <c r="I15" s="43"/>
      <c r="J15" s="45"/>
    </row>
    <row r="16" spans="1:52">
      <c r="A16" s="41">
        <v>8</v>
      </c>
      <c r="B16" s="46">
        <v>46039</v>
      </c>
      <c r="C16" s="42" t="s">
        <v>1196</v>
      </c>
      <c r="D16" s="42" t="s">
        <v>281</v>
      </c>
      <c r="E16" s="43"/>
      <c r="F16" s="44"/>
      <c r="G16" s="43">
        <v>114.21</v>
      </c>
      <c r="H16" s="44"/>
      <c r="I16" s="43"/>
      <c r="J16" s="45"/>
    </row>
    <row r="17" spans="1:10">
      <c r="A17" s="41">
        <v>9</v>
      </c>
      <c r="B17" s="46">
        <v>46039</v>
      </c>
      <c r="C17" s="42" t="s">
        <v>1197</v>
      </c>
      <c r="D17" s="42" t="s">
        <v>1198</v>
      </c>
      <c r="E17" s="43"/>
      <c r="F17" s="44"/>
      <c r="G17" s="43">
        <v>700</v>
      </c>
      <c r="H17" s="44"/>
      <c r="I17" s="43"/>
      <c r="J17" s="45"/>
    </row>
    <row r="18" spans="1:10">
      <c r="A18" s="41">
        <v>10</v>
      </c>
      <c r="B18" s="46">
        <v>46039</v>
      </c>
      <c r="C18" s="42" t="s">
        <v>1199</v>
      </c>
      <c r="D18" s="42" t="s">
        <v>783</v>
      </c>
      <c r="E18" s="43"/>
      <c r="F18" s="44"/>
      <c r="G18" s="43">
        <v>300</v>
      </c>
      <c r="H18" s="44"/>
      <c r="I18" s="43"/>
      <c r="J18" s="45"/>
    </row>
    <row r="19" spans="1:10">
      <c r="A19" s="41">
        <v>11</v>
      </c>
      <c r="B19" s="46">
        <v>46039</v>
      </c>
      <c r="C19" s="42" t="s">
        <v>1200</v>
      </c>
      <c r="D19" s="42" t="s">
        <v>689</v>
      </c>
      <c r="E19" s="43"/>
      <c r="F19" s="44"/>
      <c r="G19" s="43">
        <v>30.68</v>
      </c>
      <c r="H19" s="44"/>
      <c r="I19" s="43"/>
      <c r="J19" s="45"/>
    </row>
    <row r="20" spans="1:10">
      <c r="A20" s="41">
        <v>12</v>
      </c>
      <c r="B20" s="46">
        <v>46039</v>
      </c>
      <c r="C20" s="42" t="s">
        <v>1201</v>
      </c>
      <c r="D20" s="42" t="s">
        <v>1202</v>
      </c>
      <c r="E20" s="43"/>
      <c r="F20" s="44"/>
      <c r="G20" s="43">
        <v>300</v>
      </c>
      <c r="H20" s="44"/>
      <c r="I20" s="43"/>
      <c r="J20" s="45"/>
    </row>
    <row r="21" spans="1:10">
      <c r="A21" s="41">
        <v>13</v>
      </c>
      <c r="B21" s="46">
        <v>46039</v>
      </c>
      <c r="C21" s="42" t="s">
        <v>1203</v>
      </c>
      <c r="D21" s="42" t="s">
        <v>1204</v>
      </c>
      <c r="E21" s="43"/>
      <c r="F21" s="44"/>
      <c r="G21" s="43">
        <v>2700</v>
      </c>
      <c r="H21" s="44"/>
      <c r="I21" s="43"/>
      <c r="J21" s="45"/>
    </row>
    <row r="22" spans="1:10">
      <c r="A22" s="41">
        <v>14</v>
      </c>
      <c r="B22" s="46">
        <v>46039</v>
      </c>
      <c r="C22" s="42" t="s">
        <v>1205</v>
      </c>
      <c r="D22" s="42" t="s">
        <v>1206</v>
      </c>
      <c r="E22" s="43"/>
      <c r="F22" s="44"/>
      <c r="G22" s="43">
        <v>100</v>
      </c>
      <c r="H22" s="44"/>
      <c r="I22" s="43"/>
      <c r="J22" s="45"/>
    </row>
    <row r="23" spans="1:10">
      <c r="A23" s="41">
        <v>15</v>
      </c>
      <c r="B23" s="46">
        <v>46039</v>
      </c>
      <c r="C23" s="42" t="s">
        <v>1207</v>
      </c>
      <c r="D23" s="42" t="s">
        <v>345</v>
      </c>
      <c r="E23" s="43"/>
      <c r="F23" s="44"/>
      <c r="G23" s="43">
        <v>104.7</v>
      </c>
      <c r="H23" s="44"/>
      <c r="I23" s="43"/>
      <c r="J23" s="45"/>
    </row>
    <row r="24" spans="1:10">
      <c r="A24" s="41">
        <v>16</v>
      </c>
      <c r="B24" s="46">
        <v>46039</v>
      </c>
      <c r="C24" s="42" t="s">
        <v>1208</v>
      </c>
      <c r="D24" s="42" t="s">
        <v>1209</v>
      </c>
      <c r="E24" s="43"/>
      <c r="F24" s="44"/>
      <c r="G24" s="43">
        <v>1205.76</v>
      </c>
      <c r="H24" s="44"/>
      <c r="I24" s="43"/>
      <c r="J24" s="45"/>
    </row>
    <row r="25" spans="1:10">
      <c r="A25" s="41">
        <v>17</v>
      </c>
      <c r="B25" s="46">
        <v>46039</v>
      </c>
      <c r="C25" s="42" t="s">
        <v>1210</v>
      </c>
      <c r="D25" s="42" t="s">
        <v>1211</v>
      </c>
      <c r="E25" s="43"/>
      <c r="F25" s="44"/>
      <c r="G25" s="43">
        <v>671.63</v>
      </c>
      <c r="H25" s="44"/>
      <c r="I25" s="43"/>
      <c r="J25" s="45"/>
    </row>
    <row r="26" spans="1:10">
      <c r="A26" s="41">
        <v>18</v>
      </c>
      <c r="B26" s="46">
        <v>46039</v>
      </c>
      <c r="C26" s="42" t="s">
        <v>1212</v>
      </c>
      <c r="D26" s="42" t="s">
        <v>164</v>
      </c>
      <c r="E26" s="43"/>
      <c r="F26" s="44"/>
      <c r="G26" s="43">
        <v>1500</v>
      </c>
      <c r="H26" s="44"/>
      <c r="I26" s="43"/>
      <c r="J26" s="45"/>
    </row>
    <row r="27" spans="1:10">
      <c r="A27" s="41">
        <v>19</v>
      </c>
      <c r="B27" s="46">
        <v>46039</v>
      </c>
      <c r="C27" s="42" t="s">
        <v>1213</v>
      </c>
      <c r="D27" s="42" t="s">
        <v>1214</v>
      </c>
      <c r="E27" s="43"/>
      <c r="F27" s="44"/>
      <c r="G27" s="43">
        <v>400</v>
      </c>
      <c r="H27" s="44"/>
      <c r="I27" s="43"/>
      <c r="J27" s="45"/>
    </row>
    <row r="28" spans="1:10">
      <c r="A28" s="41">
        <v>20</v>
      </c>
      <c r="B28" s="46">
        <v>46039</v>
      </c>
      <c r="C28" s="42" t="s">
        <v>1215</v>
      </c>
      <c r="D28" s="42" t="s">
        <v>1216</v>
      </c>
      <c r="E28" s="43"/>
      <c r="F28" s="44"/>
      <c r="G28" s="43">
        <v>300</v>
      </c>
      <c r="H28" s="44"/>
      <c r="I28" s="43"/>
      <c r="J28" s="45"/>
    </row>
    <row r="29" spans="1:10">
      <c r="A29" s="41">
        <v>21</v>
      </c>
      <c r="B29" s="46">
        <v>46039</v>
      </c>
      <c r="C29" s="42" t="s">
        <v>1217</v>
      </c>
      <c r="D29" s="42" t="s">
        <v>1218</v>
      </c>
      <c r="E29" s="43"/>
      <c r="F29" s="44"/>
      <c r="G29" s="43">
        <v>500</v>
      </c>
      <c r="H29" s="44"/>
      <c r="I29" s="43"/>
      <c r="J29" s="45"/>
    </row>
    <row r="30" spans="1:10">
      <c r="A30" s="41">
        <v>22</v>
      </c>
      <c r="B30" s="46">
        <v>46039</v>
      </c>
      <c r="C30" s="42" t="s">
        <v>1219</v>
      </c>
      <c r="D30" s="42" t="s">
        <v>1220</v>
      </c>
      <c r="E30" s="43"/>
      <c r="F30" s="44"/>
      <c r="G30" s="43">
        <v>610.07000000000005</v>
      </c>
      <c r="H30" s="44"/>
      <c r="I30" s="43"/>
      <c r="J30" s="45"/>
    </row>
    <row r="31" spans="1:10">
      <c r="A31" s="41">
        <v>23</v>
      </c>
      <c r="B31" s="46">
        <v>46039</v>
      </c>
      <c r="C31" s="42" t="s">
        <v>1221</v>
      </c>
      <c r="D31" s="42" t="s">
        <v>1222</v>
      </c>
      <c r="E31" s="43"/>
      <c r="F31" s="44"/>
      <c r="G31" s="43">
        <v>400</v>
      </c>
      <c r="H31" s="44"/>
      <c r="I31" s="43"/>
      <c r="J31" s="45"/>
    </row>
    <row r="32" spans="1:10" s="9" customFormat="1" ht="12.45">
      <c r="A32" s="41">
        <v>24</v>
      </c>
      <c r="B32" s="46">
        <v>46039</v>
      </c>
      <c r="C32" s="42" t="s">
        <v>1223</v>
      </c>
      <c r="D32" s="42" t="s">
        <v>94</v>
      </c>
      <c r="E32" s="43"/>
      <c r="F32" s="44"/>
      <c r="G32" s="43">
        <v>259.10000000000002</v>
      </c>
      <c r="H32" s="44"/>
      <c r="I32" s="43"/>
      <c r="J32" s="45"/>
    </row>
    <row r="33" spans="1:10">
      <c r="A33" s="41">
        <v>25</v>
      </c>
      <c r="B33" s="46">
        <v>46039</v>
      </c>
      <c r="C33" s="42" t="s">
        <v>1224</v>
      </c>
      <c r="D33" s="42" t="s">
        <v>263</v>
      </c>
      <c r="E33" s="43"/>
      <c r="F33" s="44"/>
      <c r="G33" s="43">
        <v>300</v>
      </c>
      <c r="H33" s="44"/>
      <c r="I33" s="43"/>
      <c r="J33" s="45"/>
    </row>
    <row r="34" spans="1:10">
      <c r="A34" s="41">
        <v>26</v>
      </c>
      <c r="B34" s="46">
        <v>46039</v>
      </c>
      <c r="C34" s="42" t="s">
        <v>1225</v>
      </c>
      <c r="D34" s="42" t="s">
        <v>1226</v>
      </c>
      <c r="E34" s="43"/>
      <c r="F34" s="44"/>
      <c r="G34" s="43">
        <v>1095.44</v>
      </c>
      <c r="H34" s="44"/>
      <c r="I34" s="43"/>
      <c r="J34" s="45"/>
    </row>
    <row r="35" spans="1:10">
      <c r="A35" s="41">
        <v>27</v>
      </c>
      <c r="B35" s="46">
        <v>46039</v>
      </c>
      <c r="C35" s="42" t="s">
        <v>1227</v>
      </c>
      <c r="D35" s="42" t="s">
        <v>1228</v>
      </c>
      <c r="E35" s="43"/>
      <c r="F35" s="44"/>
      <c r="G35" s="43">
        <v>100</v>
      </c>
      <c r="H35" s="44"/>
      <c r="I35" s="43"/>
      <c r="J35" s="45"/>
    </row>
    <row r="36" spans="1:10">
      <c r="A36" s="41">
        <v>28</v>
      </c>
      <c r="B36" s="46">
        <v>46039</v>
      </c>
      <c r="C36" s="42" t="s">
        <v>1229</v>
      </c>
      <c r="D36" s="42" t="s">
        <v>1230</v>
      </c>
      <c r="E36" s="43"/>
      <c r="F36" s="44"/>
      <c r="G36" s="43">
        <v>600</v>
      </c>
      <c r="H36" s="44"/>
      <c r="I36" s="43"/>
      <c r="J36" s="45"/>
    </row>
    <row r="37" spans="1:10">
      <c r="A37" s="41">
        <v>29</v>
      </c>
      <c r="B37" s="46">
        <v>46039</v>
      </c>
      <c r="C37" s="42" t="s">
        <v>1231</v>
      </c>
      <c r="D37" s="42" t="s">
        <v>880</v>
      </c>
      <c r="E37" s="43"/>
      <c r="F37" s="44"/>
      <c r="G37" s="43">
        <v>800.2</v>
      </c>
      <c r="H37" s="44"/>
      <c r="I37" s="43"/>
      <c r="J37" s="45"/>
    </row>
    <row r="38" spans="1:10">
      <c r="A38" s="41">
        <v>30</v>
      </c>
      <c r="B38" s="46">
        <v>46039</v>
      </c>
      <c r="C38" s="42" t="s">
        <v>1232</v>
      </c>
      <c r="D38" s="42" t="s">
        <v>1233</v>
      </c>
      <c r="E38" s="43"/>
      <c r="F38" s="44"/>
      <c r="G38" s="43">
        <v>500</v>
      </c>
      <c r="H38" s="44"/>
      <c r="I38" s="43"/>
      <c r="J38" s="45"/>
    </row>
    <row r="39" spans="1:10">
      <c r="A39" s="41">
        <v>31</v>
      </c>
      <c r="B39" s="46">
        <v>46039</v>
      </c>
      <c r="C39" s="42" t="s">
        <v>1234</v>
      </c>
      <c r="D39" s="42" t="s">
        <v>1235</v>
      </c>
      <c r="E39" s="43"/>
      <c r="F39" s="44"/>
      <c r="G39" s="43">
        <v>264.27999999999997</v>
      </c>
      <c r="H39" s="44"/>
      <c r="I39" s="43"/>
      <c r="J39" s="45"/>
    </row>
    <row r="40" spans="1:10" ht="23.6">
      <c r="A40" s="41">
        <v>32</v>
      </c>
      <c r="B40" s="46">
        <v>46039</v>
      </c>
      <c r="C40" s="42" t="s">
        <v>1236</v>
      </c>
      <c r="D40" s="53" t="s">
        <v>2051</v>
      </c>
      <c r="E40" s="43"/>
      <c r="F40" s="44"/>
      <c r="G40" s="43">
        <v>765.22</v>
      </c>
      <c r="H40" s="44"/>
      <c r="I40" s="43"/>
      <c r="J40" s="45"/>
    </row>
    <row r="41" spans="1:10">
      <c r="A41" s="41">
        <v>33</v>
      </c>
      <c r="B41" s="46">
        <v>46039</v>
      </c>
      <c r="C41" s="42" t="s">
        <v>1237</v>
      </c>
      <c r="D41" s="42" t="s">
        <v>167</v>
      </c>
      <c r="E41" s="43"/>
      <c r="F41" s="44"/>
      <c r="G41" s="43">
        <v>50</v>
      </c>
      <c r="H41" s="44"/>
      <c r="I41" s="43"/>
      <c r="J41" s="45"/>
    </row>
    <row r="42" spans="1:10" s="9" customFormat="1" ht="12.45">
      <c r="A42" s="41">
        <v>34</v>
      </c>
      <c r="B42" s="46">
        <v>46039</v>
      </c>
      <c r="C42" s="42" t="s">
        <v>1238</v>
      </c>
      <c r="D42" s="42" t="s">
        <v>469</v>
      </c>
      <c r="E42" s="43"/>
      <c r="F42" s="44"/>
      <c r="G42" s="43">
        <v>100</v>
      </c>
      <c r="H42" s="44"/>
      <c r="I42" s="43"/>
      <c r="J42" s="45"/>
    </row>
    <row r="43" spans="1:10" s="9" customFormat="1" ht="12.45">
      <c r="A43" s="41">
        <v>35</v>
      </c>
      <c r="B43" s="46">
        <v>46039</v>
      </c>
      <c r="C43" s="42" t="s">
        <v>1239</v>
      </c>
      <c r="D43" s="42" t="s">
        <v>1240</v>
      </c>
      <c r="E43" s="43"/>
      <c r="F43" s="44"/>
      <c r="G43" s="43"/>
      <c r="H43" s="44">
        <v>4052000</v>
      </c>
      <c r="I43" s="43"/>
      <c r="J43" s="45"/>
    </row>
    <row r="44" spans="1:10" ht="23.6">
      <c r="A44" s="41">
        <v>36</v>
      </c>
      <c r="B44" s="46">
        <v>46039</v>
      </c>
      <c r="C44" s="42" t="s">
        <v>1241</v>
      </c>
      <c r="D44" s="53" t="s">
        <v>2050</v>
      </c>
      <c r="E44" s="43"/>
      <c r="F44" s="44"/>
      <c r="G44" s="43"/>
      <c r="H44" s="44">
        <v>1500000</v>
      </c>
      <c r="I44" s="43"/>
      <c r="J44" s="45"/>
    </row>
    <row r="45" spans="1:10">
      <c r="A45" s="41">
        <v>37</v>
      </c>
      <c r="B45" s="46">
        <v>46039</v>
      </c>
      <c r="C45" s="42" t="s">
        <v>1242</v>
      </c>
      <c r="D45" s="42" t="s">
        <v>1243</v>
      </c>
      <c r="E45" s="43"/>
      <c r="F45" s="44"/>
      <c r="G45" s="43"/>
      <c r="H45" s="44">
        <v>4500000</v>
      </c>
      <c r="I45" s="43"/>
      <c r="J45" s="45"/>
    </row>
    <row r="46" spans="1:10">
      <c r="A46" s="41">
        <v>38</v>
      </c>
      <c r="B46" s="46">
        <v>46039</v>
      </c>
      <c r="C46" s="42" t="s">
        <v>1244</v>
      </c>
      <c r="D46" s="42" t="s">
        <v>573</v>
      </c>
      <c r="E46" s="43"/>
      <c r="F46" s="44"/>
      <c r="G46" s="43"/>
      <c r="H46" s="44">
        <v>611000</v>
      </c>
      <c r="I46" s="43"/>
      <c r="J46" s="45"/>
    </row>
    <row r="47" spans="1:10">
      <c r="A47" s="41">
        <v>39</v>
      </c>
      <c r="B47" s="46">
        <v>46039</v>
      </c>
      <c r="C47" s="42" t="s">
        <v>1245</v>
      </c>
      <c r="D47" s="42" t="s">
        <v>1181</v>
      </c>
      <c r="E47" s="43"/>
      <c r="F47" s="44"/>
      <c r="G47" s="43"/>
      <c r="H47" s="44">
        <v>13675000</v>
      </c>
      <c r="I47" s="43"/>
      <c r="J47" s="45"/>
    </row>
    <row r="48" spans="1:10" s="9" customFormat="1" thickBot="1">
      <c r="A48" s="47"/>
      <c r="B48" s="48"/>
      <c r="C48" s="48"/>
      <c r="D48" s="48" t="s">
        <v>4</v>
      </c>
      <c r="E48" s="50"/>
      <c r="F48" s="49"/>
      <c r="G48" s="50">
        <v>22569.35</v>
      </c>
      <c r="H48" s="49">
        <v>24338000</v>
      </c>
      <c r="I48" s="50">
        <v>35143.86</v>
      </c>
      <c r="J48" s="51">
        <f>J7+F8-H48</f>
        <v>260440192</v>
      </c>
    </row>
    <row r="49" spans="1:10" ht="14.6">
      <c r="A49"/>
      <c r="B49"/>
      <c r="C49"/>
      <c r="D49"/>
      <c r="E49" s="15"/>
      <c r="F49" s="16"/>
      <c r="G49" s="15"/>
      <c r="H49" s="16"/>
      <c r="I49" s="15"/>
      <c r="J49" s="16"/>
    </row>
    <row r="50" spans="1:10">
      <c r="H50" s="10" t="s">
        <v>14</v>
      </c>
    </row>
    <row r="51" spans="1:10">
      <c r="H51" s="11" t="s">
        <v>15</v>
      </c>
    </row>
    <row r="136" spans="52:52">
      <c r="AZ136" s="1" t="s">
        <v>5</v>
      </c>
    </row>
  </sheetData>
  <mergeCells count="9">
    <mergeCell ref="A1:E2"/>
    <mergeCell ref="A3:J4"/>
    <mergeCell ref="A5:A6"/>
    <mergeCell ref="B5:B6"/>
    <mergeCell ref="C5:C6"/>
    <mergeCell ref="D5:D6"/>
    <mergeCell ref="E5:F5"/>
    <mergeCell ref="G5:H5"/>
    <mergeCell ref="I5:J5"/>
  </mergeCells>
  <pageMargins left="0.5" right="0" top="0.25" bottom="0.5" header="0" footer="0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FCCA3-04F0-45A6-AE02-636E89D63F9C}">
  <sheetPr>
    <tabColor rgb="FFFFFF00"/>
  </sheetPr>
  <dimension ref="A1:AZ117"/>
  <sheetViews>
    <sheetView topLeftCell="A18" zoomScaleNormal="100" workbookViewId="0">
      <selection activeCell="J29" sqref="J29"/>
    </sheetView>
  </sheetViews>
  <sheetFormatPr defaultColWidth="9.15234375" defaultRowHeight="12.9"/>
  <cols>
    <col min="1" max="1" width="4.23046875" style="1" bestFit="1" customWidth="1"/>
    <col min="2" max="2" width="6.84375" style="1" bestFit="1" customWidth="1"/>
    <col min="3" max="3" width="10.23046875" style="6" bestFit="1" customWidth="1"/>
    <col min="4" max="4" width="25.4609375" style="1" bestFit="1" customWidth="1"/>
    <col min="5" max="5" width="4" style="7" bestFit="1" customWidth="1"/>
    <col min="6" max="6" width="4.23046875" style="1" bestFit="1" customWidth="1"/>
    <col min="7" max="9" width="8.84375" style="1" bestFit="1" customWidth="1"/>
    <col min="10" max="10" width="10.61328125" style="1" bestFit="1" customWidth="1"/>
    <col min="11" max="16384" width="9.15234375" style="1"/>
  </cols>
  <sheetData>
    <row r="1" spans="1:52" ht="28.3" customHeight="1">
      <c r="A1" s="79" t="s">
        <v>17</v>
      </c>
      <c r="B1" s="80"/>
      <c r="C1" s="80"/>
      <c r="D1" s="80"/>
      <c r="E1" s="80"/>
    </row>
    <row r="2" spans="1:52" ht="28.3" customHeight="1">
      <c r="A2" s="80"/>
      <c r="B2" s="80"/>
      <c r="C2" s="80"/>
      <c r="D2" s="80"/>
      <c r="E2" s="80"/>
    </row>
    <row r="3" spans="1:52">
      <c r="A3" s="81" t="s">
        <v>11</v>
      </c>
      <c r="B3" s="81"/>
      <c r="C3" s="81"/>
      <c r="D3" s="81"/>
      <c r="E3" s="81"/>
      <c r="F3" s="81"/>
      <c r="G3" s="81"/>
      <c r="H3" s="81"/>
      <c r="I3" s="81"/>
      <c r="J3" s="81"/>
      <c r="AS3" s="2">
        <v>43921</v>
      </c>
      <c r="AZ3" s="1">
        <f>(AQ3-4)*20000</f>
        <v>-80000</v>
      </c>
    </row>
    <row r="4" spans="1:52" ht="13.3" thickBot="1">
      <c r="A4" s="81"/>
      <c r="B4" s="81"/>
      <c r="C4" s="81"/>
      <c r="D4" s="81"/>
      <c r="E4" s="81"/>
      <c r="F4" s="81"/>
      <c r="G4" s="81"/>
      <c r="H4" s="81"/>
      <c r="I4" s="81"/>
      <c r="J4" s="81"/>
    </row>
    <row r="5" spans="1:52" ht="32.25" customHeight="1">
      <c r="A5" s="82" t="s">
        <v>0</v>
      </c>
      <c r="B5" s="84" t="s">
        <v>9</v>
      </c>
      <c r="C5" s="86" t="s">
        <v>1</v>
      </c>
      <c r="D5" s="84" t="s">
        <v>10</v>
      </c>
      <c r="E5" s="88" t="s">
        <v>13</v>
      </c>
      <c r="F5" s="88"/>
      <c r="G5" s="88" t="s">
        <v>8</v>
      </c>
      <c r="H5" s="88"/>
      <c r="I5" s="88" t="s">
        <v>7</v>
      </c>
      <c r="J5" s="89"/>
    </row>
    <row r="6" spans="1:52" ht="32.25" customHeight="1">
      <c r="A6" s="83"/>
      <c r="B6" s="85"/>
      <c r="C6" s="87"/>
      <c r="D6" s="85"/>
      <c r="E6" s="38" t="s">
        <v>2</v>
      </c>
      <c r="F6" s="39" t="s">
        <v>6</v>
      </c>
      <c r="G6" s="39" t="s">
        <v>2</v>
      </c>
      <c r="H6" s="39" t="s">
        <v>6</v>
      </c>
      <c r="I6" s="39" t="s">
        <v>2</v>
      </c>
      <c r="J6" s="40" t="s">
        <v>6</v>
      </c>
    </row>
    <row r="7" spans="1:52" ht="15.9" customHeight="1">
      <c r="A7" s="41"/>
      <c r="B7" s="42"/>
      <c r="C7" s="42"/>
      <c r="D7" s="42" t="s">
        <v>12</v>
      </c>
      <c r="E7" s="43"/>
      <c r="F7" s="44"/>
      <c r="G7" s="43"/>
      <c r="H7" s="44"/>
      <c r="I7" s="43">
        <v>35143.86</v>
      </c>
      <c r="J7" s="45">
        <v>260440192</v>
      </c>
    </row>
    <row r="8" spans="1:52" ht="15.9" customHeight="1">
      <c r="A8" s="41"/>
      <c r="B8" s="42"/>
      <c r="C8" s="42"/>
      <c r="D8" s="42" t="s">
        <v>16</v>
      </c>
      <c r="E8" s="43">
        <v>0</v>
      </c>
      <c r="F8" s="44">
        <v>0</v>
      </c>
      <c r="G8" s="43"/>
      <c r="H8" s="44"/>
      <c r="I8" s="43"/>
      <c r="J8" s="45"/>
    </row>
    <row r="9" spans="1:52" ht="15.9" customHeight="1">
      <c r="A9" s="41">
        <v>1</v>
      </c>
      <c r="B9" s="46">
        <v>46040</v>
      </c>
      <c r="C9" s="42" t="s">
        <v>1246</v>
      </c>
      <c r="D9" s="53" t="s">
        <v>2052</v>
      </c>
      <c r="E9" s="43"/>
      <c r="F9" s="44"/>
      <c r="G9" s="43">
        <v>71.819999999999993</v>
      </c>
      <c r="H9" s="44"/>
      <c r="I9" s="43"/>
      <c r="J9" s="45"/>
    </row>
    <row r="10" spans="1:52" ht="15.9" customHeight="1">
      <c r="A10" s="41">
        <v>2</v>
      </c>
      <c r="B10" s="46">
        <v>46040</v>
      </c>
      <c r="C10" s="42" t="s">
        <v>1247</v>
      </c>
      <c r="D10" s="42" t="s">
        <v>1248</v>
      </c>
      <c r="E10" s="43"/>
      <c r="F10" s="44"/>
      <c r="G10" s="43">
        <v>500</v>
      </c>
      <c r="H10" s="44"/>
      <c r="I10" s="43"/>
      <c r="J10" s="45"/>
      <c r="AX10" s="5" t="s">
        <v>3</v>
      </c>
    </row>
    <row r="11" spans="1:52" ht="15.9" customHeight="1">
      <c r="A11" s="41">
        <v>3</v>
      </c>
      <c r="B11" s="46">
        <v>46040</v>
      </c>
      <c r="C11" s="42" t="s">
        <v>1249</v>
      </c>
      <c r="D11" s="42" t="s">
        <v>628</v>
      </c>
      <c r="E11" s="43"/>
      <c r="F11" s="44"/>
      <c r="G11" s="43">
        <v>666.83</v>
      </c>
      <c r="H11" s="44"/>
      <c r="I11" s="43"/>
      <c r="J11" s="45"/>
    </row>
    <row r="12" spans="1:52" ht="12.75" customHeight="1">
      <c r="A12" s="41">
        <v>4</v>
      </c>
      <c r="B12" s="46">
        <v>46040</v>
      </c>
      <c r="C12" s="42" t="s">
        <v>1250</v>
      </c>
      <c r="D12" s="42" t="s">
        <v>636</v>
      </c>
      <c r="E12" s="43"/>
      <c r="F12" s="44"/>
      <c r="G12" s="43">
        <v>100</v>
      </c>
      <c r="H12" s="44"/>
      <c r="I12" s="43"/>
      <c r="J12" s="45"/>
    </row>
    <row r="13" spans="1:52" ht="12.75" customHeight="1">
      <c r="A13" s="41">
        <v>5</v>
      </c>
      <c r="B13" s="46">
        <v>46040</v>
      </c>
      <c r="C13" s="42" t="s">
        <v>1251</v>
      </c>
      <c r="D13" s="42" t="s">
        <v>1211</v>
      </c>
      <c r="E13" s="43"/>
      <c r="F13" s="44"/>
      <c r="G13" s="43">
        <v>235.01</v>
      </c>
      <c r="H13" s="44"/>
      <c r="I13" s="43"/>
      <c r="J13" s="45"/>
    </row>
    <row r="14" spans="1:52" ht="12.75" customHeight="1">
      <c r="A14" s="41">
        <v>6</v>
      </c>
      <c r="B14" s="46">
        <v>46040</v>
      </c>
      <c r="C14" s="42" t="s">
        <v>1252</v>
      </c>
      <c r="D14" s="42" t="s">
        <v>1253</v>
      </c>
      <c r="E14" s="43"/>
      <c r="F14" s="44"/>
      <c r="G14" s="43">
        <v>100</v>
      </c>
      <c r="H14" s="44"/>
      <c r="I14" s="43"/>
      <c r="J14" s="45"/>
    </row>
    <row r="15" spans="1:52" ht="12.75" customHeight="1">
      <c r="A15" s="41">
        <v>7</v>
      </c>
      <c r="B15" s="46">
        <v>46040</v>
      </c>
      <c r="C15" s="42" t="s">
        <v>1254</v>
      </c>
      <c r="D15" s="42" t="s">
        <v>20</v>
      </c>
      <c r="E15" s="43"/>
      <c r="F15" s="44"/>
      <c r="G15" s="43">
        <v>76.47</v>
      </c>
      <c r="H15" s="44"/>
      <c r="I15" s="43"/>
      <c r="J15" s="45"/>
    </row>
    <row r="16" spans="1:52">
      <c r="A16" s="41">
        <v>8</v>
      </c>
      <c r="B16" s="46">
        <v>46040</v>
      </c>
      <c r="C16" s="42" t="s">
        <v>1255</v>
      </c>
      <c r="D16" s="42" t="s">
        <v>1256</v>
      </c>
      <c r="E16" s="43"/>
      <c r="F16" s="44"/>
      <c r="G16" s="43">
        <v>339.04</v>
      </c>
      <c r="H16" s="44"/>
      <c r="I16" s="43"/>
      <c r="J16" s="45"/>
    </row>
    <row r="17" spans="1:10">
      <c r="A17" s="41">
        <v>9</v>
      </c>
      <c r="B17" s="46">
        <v>46040</v>
      </c>
      <c r="C17" s="42" t="s">
        <v>1257</v>
      </c>
      <c r="D17" s="42" t="s">
        <v>39</v>
      </c>
      <c r="E17" s="43"/>
      <c r="F17" s="44"/>
      <c r="G17" s="43">
        <v>90.31</v>
      </c>
      <c r="H17" s="44"/>
      <c r="I17" s="43"/>
      <c r="J17" s="45"/>
    </row>
    <row r="18" spans="1:10">
      <c r="A18" s="41">
        <v>10</v>
      </c>
      <c r="B18" s="46">
        <v>46040</v>
      </c>
      <c r="C18" s="42" t="s">
        <v>1258</v>
      </c>
      <c r="D18" s="42" t="s">
        <v>289</v>
      </c>
      <c r="E18" s="43"/>
      <c r="F18" s="44"/>
      <c r="G18" s="43">
        <v>700</v>
      </c>
      <c r="H18" s="44"/>
      <c r="I18" s="43"/>
      <c r="J18" s="45"/>
    </row>
    <row r="19" spans="1:10">
      <c r="A19" s="41">
        <v>11</v>
      </c>
      <c r="B19" s="46">
        <v>46040</v>
      </c>
      <c r="C19" s="42" t="s">
        <v>1259</v>
      </c>
      <c r="D19" s="42" t="s">
        <v>1260</v>
      </c>
      <c r="E19" s="43"/>
      <c r="F19" s="44"/>
      <c r="G19" s="43">
        <v>200</v>
      </c>
      <c r="H19" s="44"/>
      <c r="I19" s="43"/>
      <c r="J19" s="45"/>
    </row>
    <row r="20" spans="1:10">
      <c r="A20" s="41">
        <v>12</v>
      </c>
      <c r="B20" s="46">
        <v>46040</v>
      </c>
      <c r="C20" s="42" t="s">
        <v>1261</v>
      </c>
      <c r="D20" s="42" t="s">
        <v>1262</v>
      </c>
      <c r="E20" s="43"/>
      <c r="F20" s="44"/>
      <c r="G20" s="43">
        <v>196.75</v>
      </c>
      <c r="H20" s="44"/>
      <c r="I20" s="43"/>
      <c r="J20" s="45"/>
    </row>
    <row r="21" spans="1:10">
      <c r="A21" s="41">
        <v>13</v>
      </c>
      <c r="B21" s="46">
        <v>46040</v>
      </c>
      <c r="C21" s="42" t="s">
        <v>1263</v>
      </c>
      <c r="D21" s="42" t="s">
        <v>90</v>
      </c>
      <c r="E21" s="43"/>
      <c r="F21" s="44"/>
      <c r="G21" s="43">
        <v>3800</v>
      </c>
      <c r="H21" s="44"/>
      <c r="I21" s="43"/>
      <c r="J21" s="45"/>
    </row>
    <row r="22" spans="1:10">
      <c r="A22" s="41">
        <v>14</v>
      </c>
      <c r="B22" s="46">
        <v>46040</v>
      </c>
      <c r="C22" s="42" t="s">
        <v>1264</v>
      </c>
      <c r="D22" s="42" t="s">
        <v>1265</v>
      </c>
      <c r="E22" s="43"/>
      <c r="F22" s="44"/>
      <c r="G22" s="43">
        <v>150</v>
      </c>
      <c r="H22" s="44"/>
      <c r="I22" s="43"/>
      <c r="J22" s="45"/>
    </row>
    <row r="23" spans="1:10">
      <c r="A23" s="41">
        <v>15</v>
      </c>
      <c r="B23" s="46">
        <v>46040</v>
      </c>
      <c r="C23" s="42" t="s">
        <v>1266</v>
      </c>
      <c r="D23" s="42" t="s">
        <v>1267</v>
      </c>
      <c r="E23" s="43"/>
      <c r="F23" s="44"/>
      <c r="G23" s="43">
        <v>263.36</v>
      </c>
      <c r="H23" s="44"/>
      <c r="I23" s="43"/>
      <c r="J23" s="45"/>
    </row>
    <row r="24" spans="1:10">
      <c r="A24" s="41">
        <v>16</v>
      </c>
      <c r="B24" s="46">
        <v>46040</v>
      </c>
      <c r="C24" s="42" t="s">
        <v>1268</v>
      </c>
      <c r="D24" s="42" t="s">
        <v>1269</v>
      </c>
      <c r="E24" s="43"/>
      <c r="F24" s="44"/>
      <c r="G24" s="43">
        <v>200</v>
      </c>
      <c r="H24" s="44"/>
      <c r="I24" s="43"/>
      <c r="J24" s="45"/>
    </row>
    <row r="25" spans="1:10">
      <c r="A25" s="41">
        <v>17</v>
      </c>
      <c r="B25" s="46">
        <v>46040</v>
      </c>
      <c r="C25" s="42" t="s">
        <v>1270</v>
      </c>
      <c r="D25" s="42" t="s">
        <v>1271</v>
      </c>
      <c r="E25" s="43"/>
      <c r="F25" s="44"/>
      <c r="G25" s="43">
        <v>367.19</v>
      </c>
      <c r="H25" s="44"/>
      <c r="I25" s="43"/>
      <c r="J25" s="45"/>
    </row>
    <row r="26" spans="1:10">
      <c r="A26" s="41">
        <v>18</v>
      </c>
      <c r="B26" s="46">
        <v>46040</v>
      </c>
      <c r="C26" s="42" t="s">
        <v>1272</v>
      </c>
      <c r="D26" s="42" t="s">
        <v>149</v>
      </c>
      <c r="E26" s="43"/>
      <c r="F26" s="44"/>
      <c r="G26" s="43">
        <v>600</v>
      </c>
      <c r="H26" s="44"/>
      <c r="I26" s="43"/>
      <c r="J26" s="45"/>
    </row>
    <row r="27" spans="1:10">
      <c r="A27" s="41">
        <v>19</v>
      </c>
      <c r="B27" s="46">
        <v>46040</v>
      </c>
      <c r="C27" s="42" t="s">
        <v>1273</v>
      </c>
      <c r="D27" s="42" t="s">
        <v>1274</v>
      </c>
      <c r="E27" s="43"/>
      <c r="F27" s="44"/>
      <c r="G27" s="43">
        <v>4699.29</v>
      </c>
      <c r="H27" s="44"/>
      <c r="I27" s="43"/>
      <c r="J27" s="45"/>
    </row>
    <row r="28" spans="1:10">
      <c r="A28" s="41">
        <v>20</v>
      </c>
      <c r="B28" s="46">
        <v>46040</v>
      </c>
      <c r="C28" s="42" t="s">
        <v>1275</v>
      </c>
      <c r="D28" s="42" t="s">
        <v>1276</v>
      </c>
      <c r="E28" s="43"/>
      <c r="F28" s="44"/>
      <c r="G28" s="43"/>
      <c r="H28" s="44">
        <v>3474000</v>
      </c>
      <c r="I28" s="43"/>
      <c r="J28" s="45"/>
    </row>
    <row r="29" spans="1:10" s="9" customFormat="1" thickBot="1">
      <c r="A29" s="47"/>
      <c r="B29" s="48"/>
      <c r="C29" s="48"/>
      <c r="D29" s="48" t="s">
        <v>4</v>
      </c>
      <c r="E29" s="50"/>
      <c r="F29" s="49"/>
      <c r="G29" s="50">
        <v>13356.07</v>
      </c>
      <c r="H29" s="49">
        <v>3474000</v>
      </c>
      <c r="I29" s="50">
        <v>21787.79</v>
      </c>
      <c r="J29" s="51">
        <f>J7+F8-H29</f>
        <v>256966192</v>
      </c>
    </row>
    <row r="30" spans="1:10" ht="14.6">
      <c r="A30"/>
      <c r="B30"/>
      <c r="C30"/>
      <c r="D30"/>
      <c r="E30" s="15"/>
      <c r="F30" s="16"/>
      <c r="G30" s="15"/>
      <c r="H30" s="16"/>
      <c r="I30" s="15"/>
      <c r="J30" s="16"/>
    </row>
    <row r="31" spans="1:10">
      <c r="H31" s="10" t="s">
        <v>14</v>
      </c>
    </row>
    <row r="32" spans="1:10">
      <c r="H32" s="11" t="s">
        <v>15</v>
      </c>
    </row>
    <row r="117" spans="52:52">
      <c r="AZ117" s="1" t="s">
        <v>5</v>
      </c>
    </row>
  </sheetData>
  <mergeCells count="9">
    <mergeCell ref="A1:E2"/>
    <mergeCell ref="A3:J4"/>
    <mergeCell ref="A5:A6"/>
    <mergeCell ref="B5:B6"/>
    <mergeCell ref="C5:C6"/>
    <mergeCell ref="D5:D6"/>
    <mergeCell ref="E5:F5"/>
    <mergeCell ref="G5:H5"/>
    <mergeCell ref="I5:J5"/>
  </mergeCells>
  <pageMargins left="0.5" right="0" top="0.5" bottom="0.5" header="0" footer="0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2CB71-6F42-452C-B74D-3C2F2E9AB3A0}">
  <sheetPr>
    <tabColor rgb="FFFFFF00"/>
  </sheetPr>
  <dimension ref="A1:AZ117"/>
  <sheetViews>
    <sheetView topLeftCell="A39" zoomScale="85" zoomScaleNormal="85" workbookViewId="0">
      <selection activeCell="J52" sqref="J52"/>
    </sheetView>
  </sheetViews>
  <sheetFormatPr defaultColWidth="9.15234375" defaultRowHeight="12.9"/>
  <cols>
    <col min="1" max="1" width="4.23046875" style="1" bestFit="1" customWidth="1"/>
    <col min="2" max="2" width="6.84375" style="1" bestFit="1" customWidth="1"/>
    <col min="3" max="3" width="10.23046875" style="6" bestFit="1" customWidth="1"/>
    <col min="4" max="4" width="18.4609375" style="69" customWidth="1"/>
    <col min="5" max="5" width="8.4609375" style="7" bestFit="1" customWidth="1"/>
    <col min="6" max="6" width="9.3046875" style="1" bestFit="1" customWidth="1"/>
    <col min="7" max="7" width="8.84375" style="1" bestFit="1" customWidth="1"/>
    <col min="8" max="8" width="9.765625" style="1" bestFit="1" customWidth="1"/>
    <col min="9" max="9" width="8.84375" style="1" bestFit="1" customWidth="1"/>
    <col min="10" max="10" width="10.61328125" style="1" bestFit="1" customWidth="1"/>
    <col min="11" max="16384" width="9.15234375" style="1"/>
  </cols>
  <sheetData>
    <row r="1" spans="1:52" ht="28.3" customHeight="1">
      <c r="A1" s="79" t="s">
        <v>17</v>
      </c>
      <c r="B1" s="80"/>
      <c r="C1" s="80"/>
      <c r="D1" s="80"/>
      <c r="E1" s="80"/>
    </row>
    <row r="2" spans="1:52" ht="28.3" customHeight="1">
      <c r="A2" s="80"/>
      <c r="B2" s="80"/>
      <c r="C2" s="80"/>
      <c r="D2" s="80"/>
      <c r="E2" s="80"/>
    </row>
    <row r="3" spans="1:52">
      <c r="A3" s="81" t="s">
        <v>11</v>
      </c>
      <c r="B3" s="81"/>
      <c r="C3" s="81"/>
      <c r="D3" s="81"/>
      <c r="E3" s="81"/>
      <c r="F3" s="81"/>
      <c r="G3" s="81"/>
      <c r="H3" s="81"/>
      <c r="I3" s="81"/>
      <c r="J3" s="81"/>
      <c r="AS3" s="2">
        <v>43921</v>
      </c>
      <c r="AZ3" s="1">
        <f>(AQ3-4)*20000</f>
        <v>-80000</v>
      </c>
    </row>
    <row r="4" spans="1:52" ht="13.3" thickBot="1">
      <c r="A4" s="81"/>
      <c r="B4" s="81"/>
      <c r="C4" s="81"/>
      <c r="D4" s="81"/>
      <c r="E4" s="81"/>
      <c r="F4" s="81"/>
      <c r="G4" s="81"/>
      <c r="H4" s="81"/>
      <c r="I4" s="81"/>
      <c r="J4" s="81"/>
    </row>
    <row r="5" spans="1:52">
      <c r="A5" s="82" t="s">
        <v>0</v>
      </c>
      <c r="B5" s="84" t="s">
        <v>9</v>
      </c>
      <c r="C5" s="86" t="s">
        <v>1</v>
      </c>
      <c r="D5" s="84" t="s">
        <v>10</v>
      </c>
      <c r="E5" s="88" t="s">
        <v>13</v>
      </c>
      <c r="F5" s="88"/>
      <c r="G5" s="88" t="s">
        <v>8</v>
      </c>
      <c r="H5" s="88"/>
      <c r="I5" s="88" t="s">
        <v>7</v>
      </c>
      <c r="J5" s="89"/>
    </row>
    <row r="6" spans="1:52">
      <c r="A6" s="83"/>
      <c r="B6" s="85"/>
      <c r="C6" s="87"/>
      <c r="D6" s="85"/>
      <c r="E6" s="38" t="s">
        <v>2</v>
      </c>
      <c r="F6" s="39" t="s">
        <v>6</v>
      </c>
      <c r="G6" s="39" t="s">
        <v>2</v>
      </c>
      <c r="H6" s="39" t="s">
        <v>6</v>
      </c>
      <c r="I6" s="39" t="s">
        <v>2</v>
      </c>
      <c r="J6" s="40" t="s">
        <v>6</v>
      </c>
    </row>
    <row r="7" spans="1:52">
      <c r="A7" s="41"/>
      <c r="B7" s="42"/>
      <c r="C7" s="42"/>
      <c r="D7" s="62" t="s">
        <v>12</v>
      </c>
      <c r="E7" s="43"/>
      <c r="F7" s="44"/>
      <c r="G7" s="43"/>
      <c r="H7" s="44"/>
      <c r="I7" s="43">
        <v>21787.79</v>
      </c>
      <c r="J7" s="45">
        <v>256966192</v>
      </c>
    </row>
    <row r="8" spans="1:52">
      <c r="A8" s="41"/>
      <c r="B8" s="42"/>
      <c r="C8" s="42"/>
      <c r="D8" s="62" t="s">
        <v>16</v>
      </c>
      <c r="E8" s="43">
        <v>67906</v>
      </c>
      <c r="F8" s="44">
        <f>15419000+24338000+3474000+1694+8470+8372</f>
        <v>43249536</v>
      </c>
      <c r="G8" s="43"/>
      <c r="H8" s="44"/>
      <c r="I8" s="43"/>
      <c r="J8" s="45"/>
    </row>
    <row r="9" spans="1:52">
      <c r="A9" s="41">
        <v>1</v>
      </c>
      <c r="B9" s="46">
        <v>46041</v>
      </c>
      <c r="C9" s="42" t="s">
        <v>1277</v>
      </c>
      <c r="D9" s="62" t="s">
        <v>1278</v>
      </c>
      <c r="E9" s="43"/>
      <c r="F9" s="44"/>
      <c r="G9" s="43">
        <v>700</v>
      </c>
      <c r="H9" s="44"/>
      <c r="I9" s="43"/>
      <c r="J9" s="45"/>
    </row>
    <row r="10" spans="1:52">
      <c r="A10" s="41">
        <v>2</v>
      </c>
      <c r="B10" s="46">
        <v>46041</v>
      </c>
      <c r="C10" s="42" t="s">
        <v>1279</v>
      </c>
      <c r="D10" s="62" t="s">
        <v>1280</v>
      </c>
      <c r="E10" s="43"/>
      <c r="F10" s="44"/>
      <c r="G10" s="43">
        <v>1500</v>
      </c>
      <c r="H10" s="44"/>
      <c r="I10" s="43"/>
      <c r="J10" s="45"/>
      <c r="AX10" s="5" t="s">
        <v>3</v>
      </c>
    </row>
    <row r="11" spans="1:52">
      <c r="A11" s="41">
        <v>3</v>
      </c>
      <c r="B11" s="46">
        <v>46041</v>
      </c>
      <c r="C11" s="42" t="s">
        <v>1281</v>
      </c>
      <c r="D11" s="62" t="s">
        <v>1282</v>
      </c>
      <c r="E11" s="43"/>
      <c r="F11" s="44"/>
      <c r="G11" s="43">
        <v>75</v>
      </c>
      <c r="H11" s="44"/>
      <c r="I11" s="43"/>
      <c r="J11" s="45"/>
    </row>
    <row r="12" spans="1:52">
      <c r="A12" s="41">
        <v>4</v>
      </c>
      <c r="B12" s="46">
        <v>46041</v>
      </c>
      <c r="C12" s="42" t="s">
        <v>1283</v>
      </c>
      <c r="D12" s="62" t="s">
        <v>1111</v>
      </c>
      <c r="E12" s="43"/>
      <c r="F12" s="44"/>
      <c r="G12" s="43">
        <v>192.57</v>
      </c>
      <c r="H12" s="44"/>
      <c r="I12" s="43"/>
      <c r="J12" s="45"/>
    </row>
    <row r="13" spans="1:52">
      <c r="A13" s="41">
        <v>5</v>
      </c>
      <c r="B13" s="46">
        <v>46041</v>
      </c>
      <c r="C13" s="42" t="s">
        <v>1284</v>
      </c>
      <c r="D13" s="62" t="s">
        <v>1285</v>
      </c>
      <c r="E13" s="43"/>
      <c r="F13" s="44"/>
      <c r="G13" s="43">
        <v>2900</v>
      </c>
      <c r="H13" s="44"/>
      <c r="I13" s="43"/>
      <c r="J13" s="45"/>
    </row>
    <row r="14" spans="1:52">
      <c r="A14" s="41">
        <v>6</v>
      </c>
      <c r="B14" s="46">
        <v>46041</v>
      </c>
      <c r="C14" s="42" t="s">
        <v>1286</v>
      </c>
      <c r="D14" s="62" t="s">
        <v>357</v>
      </c>
      <c r="E14" s="43"/>
      <c r="F14" s="44"/>
      <c r="G14" s="43">
        <v>750</v>
      </c>
      <c r="H14" s="44"/>
      <c r="I14" s="43"/>
      <c r="J14" s="45"/>
    </row>
    <row r="15" spans="1:52">
      <c r="A15" s="41">
        <v>7</v>
      </c>
      <c r="B15" s="46">
        <v>46041</v>
      </c>
      <c r="C15" s="42" t="s">
        <v>1287</v>
      </c>
      <c r="D15" s="62" t="s">
        <v>1288</v>
      </c>
      <c r="E15" s="43"/>
      <c r="F15" s="44"/>
      <c r="G15" s="43">
        <v>3000</v>
      </c>
      <c r="H15" s="44"/>
      <c r="I15" s="43"/>
      <c r="J15" s="45"/>
    </row>
    <row r="16" spans="1:52">
      <c r="A16" s="41">
        <v>8</v>
      </c>
      <c r="B16" s="46">
        <v>46041</v>
      </c>
      <c r="C16" s="42" t="s">
        <v>1289</v>
      </c>
      <c r="D16" s="62" t="s">
        <v>446</v>
      </c>
      <c r="E16" s="43"/>
      <c r="F16" s="44"/>
      <c r="G16" s="43">
        <v>1000</v>
      </c>
      <c r="H16" s="44"/>
      <c r="I16" s="43"/>
      <c r="J16" s="45"/>
    </row>
    <row r="17" spans="1:10">
      <c r="A17" s="41">
        <v>9</v>
      </c>
      <c r="B17" s="46">
        <v>46041</v>
      </c>
      <c r="C17" s="42" t="s">
        <v>1290</v>
      </c>
      <c r="D17" s="62" t="s">
        <v>1291</v>
      </c>
      <c r="E17" s="43"/>
      <c r="F17" s="44"/>
      <c r="G17" s="43">
        <v>1100</v>
      </c>
      <c r="H17" s="44"/>
      <c r="I17" s="43"/>
      <c r="J17" s="45"/>
    </row>
    <row r="18" spans="1:10">
      <c r="A18" s="41">
        <v>10</v>
      </c>
      <c r="B18" s="46">
        <v>46041</v>
      </c>
      <c r="C18" s="42" t="s">
        <v>1292</v>
      </c>
      <c r="D18" s="62" t="s">
        <v>1293</v>
      </c>
      <c r="E18" s="43"/>
      <c r="F18" s="44"/>
      <c r="G18" s="43">
        <v>1000</v>
      </c>
      <c r="H18" s="44"/>
      <c r="I18" s="43"/>
      <c r="J18" s="45"/>
    </row>
    <row r="19" spans="1:10">
      <c r="A19" s="41">
        <v>11</v>
      </c>
      <c r="B19" s="46">
        <v>46041</v>
      </c>
      <c r="C19" s="42" t="s">
        <v>1294</v>
      </c>
      <c r="D19" s="62" t="s">
        <v>1295</v>
      </c>
      <c r="E19" s="43"/>
      <c r="F19" s="44"/>
      <c r="G19" s="43">
        <v>414</v>
      </c>
      <c r="H19" s="44"/>
      <c r="I19" s="43"/>
      <c r="J19" s="45"/>
    </row>
    <row r="20" spans="1:10">
      <c r="A20" s="41">
        <v>12</v>
      </c>
      <c r="B20" s="46">
        <v>46041</v>
      </c>
      <c r="C20" s="42" t="s">
        <v>1296</v>
      </c>
      <c r="D20" s="62" t="s">
        <v>1297</v>
      </c>
      <c r="E20" s="43"/>
      <c r="F20" s="44"/>
      <c r="G20" s="43">
        <v>2200</v>
      </c>
      <c r="H20" s="44"/>
      <c r="I20" s="43"/>
      <c r="J20" s="45"/>
    </row>
    <row r="21" spans="1:10">
      <c r="A21" s="41">
        <v>13</v>
      </c>
      <c r="B21" s="46">
        <v>46041</v>
      </c>
      <c r="C21" s="42" t="s">
        <v>1298</v>
      </c>
      <c r="D21" s="62" t="s">
        <v>1146</v>
      </c>
      <c r="E21" s="43"/>
      <c r="F21" s="44"/>
      <c r="G21" s="43">
        <v>2500</v>
      </c>
      <c r="H21" s="44"/>
      <c r="I21" s="43"/>
      <c r="J21" s="45"/>
    </row>
    <row r="22" spans="1:10">
      <c r="A22" s="41">
        <v>14</v>
      </c>
      <c r="B22" s="46">
        <v>46041</v>
      </c>
      <c r="C22" s="42" t="s">
        <v>1299</v>
      </c>
      <c r="D22" s="62" t="s">
        <v>179</v>
      </c>
      <c r="E22" s="43"/>
      <c r="F22" s="44"/>
      <c r="G22" s="43">
        <v>400</v>
      </c>
      <c r="H22" s="44"/>
      <c r="I22" s="43"/>
      <c r="J22" s="45"/>
    </row>
    <row r="23" spans="1:10">
      <c r="A23" s="41">
        <v>15</v>
      </c>
      <c r="B23" s="46">
        <v>46041</v>
      </c>
      <c r="C23" s="42" t="s">
        <v>1300</v>
      </c>
      <c r="D23" s="62" t="s">
        <v>1301</v>
      </c>
      <c r="E23" s="43"/>
      <c r="F23" s="44"/>
      <c r="G23" s="43">
        <v>300</v>
      </c>
      <c r="H23" s="44"/>
      <c r="I23" s="43"/>
      <c r="J23" s="45"/>
    </row>
    <row r="24" spans="1:10">
      <c r="A24" s="41">
        <v>16</v>
      </c>
      <c r="B24" s="46">
        <v>46041</v>
      </c>
      <c r="C24" s="42" t="s">
        <v>1302</v>
      </c>
      <c r="D24" s="62" t="s">
        <v>1303</v>
      </c>
      <c r="E24" s="43"/>
      <c r="F24" s="44"/>
      <c r="G24" s="43">
        <v>149.49</v>
      </c>
      <c r="H24" s="44"/>
      <c r="I24" s="43"/>
      <c r="J24" s="45"/>
    </row>
    <row r="25" spans="1:10">
      <c r="A25" s="41">
        <v>17</v>
      </c>
      <c r="B25" s="46">
        <v>46041</v>
      </c>
      <c r="C25" s="42" t="s">
        <v>1304</v>
      </c>
      <c r="D25" s="62" t="s">
        <v>636</v>
      </c>
      <c r="E25" s="43"/>
      <c r="F25" s="44"/>
      <c r="G25" s="43">
        <v>250</v>
      </c>
      <c r="H25" s="44"/>
      <c r="I25" s="43"/>
      <c r="J25" s="45"/>
    </row>
    <row r="26" spans="1:10">
      <c r="A26" s="41">
        <v>18</v>
      </c>
      <c r="B26" s="46">
        <v>46041</v>
      </c>
      <c r="C26" s="42" t="s">
        <v>1305</v>
      </c>
      <c r="D26" s="62" t="s">
        <v>1306</v>
      </c>
      <c r="E26" s="43"/>
      <c r="F26" s="44"/>
      <c r="G26" s="43">
        <v>154.02000000000001</v>
      </c>
      <c r="H26" s="44"/>
      <c r="I26" s="43"/>
      <c r="J26" s="45"/>
    </row>
    <row r="27" spans="1:10">
      <c r="A27" s="41">
        <v>19</v>
      </c>
      <c r="B27" s="46">
        <v>46041</v>
      </c>
      <c r="C27" s="42" t="s">
        <v>1307</v>
      </c>
      <c r="D27" s="62" t="s">
        <v>1308</v>
      </c>
      <c r="E27" s="43"/>
      <c r="F27" s="44"/>
      <c r="G27" s="43">
        <v>500</v>
      </c>
      <c r="H27" s="44"/>
      <c r="I27" s="43"/>
      <c r="J27" s="45"/>
    </row>
    <row r="28" spans="1:10">
      <c r="A28" s="41">
        <v>20</v>
      </c>
      <c r="B28" s="46">
        <v>46041</v>
      </c>
      <c r="C28" s="42" t="s">
        <v>1309</v>
      </c>
      <c r="D28" s="62" t="s">
        <v>1308</v>
      </c>
      <c r="E28" s="43"/>
      <c r="F28" s="44"/>
      <c r="G28" s="43">
        <v>300</v>
      </c>
      <c r="H28" s="44"/>
      <c r="I28" s="43"/>
      <c r="J28" s="45"/>
    </row>
    <row r="29" spans="1:10" s="9" customFormat="1" ht="12.45">
      <c r="A29" s="41">
        <v>21</v>
      </c>
      <c r="B29" s="46">
        <v>46041</v>
      </c>
      <c r="C29" s="42" t="s">
        <v>1310</v>
      </c>
      <c r="D29" s="62" t="s">
        <v>1311</v>
      </c>
      <c r="E29" s="43"/>
      <c r="F29" s="44"/>
      <c r="G29" s="43">
        <v>1970</v>
      </c>
      <c r="H29" s="44"/>
      <c r="I29" s="43"/>
      <c r="J29" s="45"/>
    </row>
    <row r="30" spans="1:10">
      <c r="A30" s="41">
        <v>22</v>
      </c>
      <c r="B30" s="46">
        <v>46041</v>
      </c>
      <c r="C30" s="42" t="s">
        <v>1312</v>
      </c>
      <c r="D30" s="62" t="s">
        <v>1313</v>
      </c>
      <c r="E30" s="43"/>
      <c r="F30" s="44"/>
      <c r="G30" s="43">
        <v>500</v>
      </c>
      <c r="H30" s="44"/>
      <c r="I30" s="43"/>
      <c r="J30" s="45"/>
    </row>
    <row r="31" spans="1:10">
      <c r="A31" s="41">
        <v>23</v>
      </c>
      <c r="B31" s="46">
        <v>46041</v>
      </c>
      <c r="C31" s="42" t="s">
        <v>1314</v>
      </c>
      <c r="D31" s="62" t="s">
        <v>1315</v>
      </c>
      <c r="E31" s="43"/>
      <c r="F31" s="44"/>
      <c r="G31" s="43">
        <v>114.21</v>
      </c>
      <c r="H31" s="44"/>
      <c r="I31" s="43"/>
      <c r="J31" s="45"/>
    </row>
    <row r="32" spans="1:10">
      <c r="A32" s="41">
        <v>24</v>
      </c>
      <c r="B32" s="46">
        <v>46041</v>
      </c>
      <c r="C32" s="42" t="s">
        <v>1316</v>
      </c>
      <c r="D32" s="62" t="s">
        <v>1317</v>
      </c>
      <c r="E32" s="43"/>
      <c r="F32" s="44"/>
      <c r="G32" s="43">
        <v>1000</v>
      </c>
      <c r="H32" s="44"/>
      <c r="I32" s="43"/>
      <c r="J32" s="45"/>
    </row>
    <row r="33" spans="1:10">
      <c r="A33" s="41">
        <v>25</v>
      </c>
      <c r="B33" s="46">
        <v>46041</v>
      </c>
      <c r="C33" s="42" t="s">
        <v>1318</v>
      </c>
      <c r="D33" s="62" t="s">
        <v>1319</v>
      </c>
      <c r="E33" s="43"/>
      <c r="F33" s="44"/>
      <c r="G33" s="43">
        <v>200</v>
      </c>
      <c r="H33" s="44"/>
      <c r="I33" s="43"/>
      <c r="J33" s="45"/>
    </row>
    <row r="34" spans="1:10">
      <c r="A34" s="41">
        <v>26</v>
      </c>
      <c r="B34" s="46">
        <v>46041</v>
      </c>
      <c r="C34" s="42" t="s">
        <v>1320</v>
      </c>
      <c r="D34" s="62" t="s">
        <v>1321</v>
      </c>
      <c r="E34" s="43"/>
      <c r="F34" s="44"/>
      <c r="G34" s="43">
        <v>700</v>
      </c>
      <c r="H34" s="44"/>
      <c r="I34" s="43"/>
      <c r="J34" s="45"/>
    </row>
    <row r="35" spans="1:10">
      <c r="A35" s="41">
        <v>27</v>
      </c>
      <c r="B35" s="46">
        <v>46041</v>
      </c>
      <c r="C35" s="42" t="s">
        <v>1322</v>
      </c>
      <c r="D35" s="62" t="s">
        <v>1323</v>
      </c>
      <c r="E35" s="43"/>
      <c r="F35" s="44"/>
      <c r="G35" s="43">
        <v>200</v>
      </c>
      <c r="H35" s="44"/>
      <c r="I35" s="43"/>
      <c r="J35" s="45"/>
    </row>
    <row r="36" spans="1:10">
      <c r="A36" s="41">
        <v>28</v>
      </c>
      <c r="B36" s="46">
        <v>46041</v>
      </c>
      <c r="C36" s="42" t="s">
        <v>1324</v>
      </c>
      <c r="D36" s="62" t="s">
        <v>1325</v>
      </c>
      <c r="E36" s="43"/>
      <c r="F36" s="44"/>
      <c r="G36" s="43">
        <v>6350</v>
      </c>
      <c r="H36" s="44"/>
      <c r="I36" s="43"/>
      <c r="J36" s="45"/>
    </row>
    <row r="37" spans="1:10">
      <c r="A37" s="41">
        <v>29</v>
      </c>
      <c r="B37" s="46">
        <v>46041</v>
      </c>
      <c r="C37" s="42" t="s">
        <v>1326</v>
      </c>
      <c r="D37" s="62" t="s">
        <v>1327</v>
      </c>
      <c r="E37" s="43"/>
      <c r="F37" s="44"/>
      <c r="G37" s="43">
        <v>156.75</v>
      </c>
      <c r="H37" s="44"/>
      <c r="I37" s="43"/>
      <c r="J37" s="45"/>
    </row>
    <row r="38" spans="1:10">
      <c r="A38" s="41">
        <v>30</v>
      </c>
      <c r="B38" s="46">
        <v>46041</v>
      </c>
      <c r="C38" s="42" t="s">
        <v>1328</v>
      </c>
      <c r="D38" s="62" t="s">
        <v>1329</v>
      </c>
      <c r="E38" s="43"/>
      <c r="F38" s="44"/>
      <c r="G38" s="43">
        <v>151.82</v>
      </c>
      <c r="H38" s="44"/>
      <c r="I38" s="43"/>
      <c r="J38" s="45"/>
    </row>
    <row r="39" spans="1:10">
      <c r="A39" s="41">
        <v>31</v>
      </c>
      <c r="B39" s="46">
        <v>46041</v>
      </c>
      <c r="C39" s="42" t="s">
        <v>1330</v>
      </c>
      <c r="D39" s="62" t="s">
        <v>1179</v>
      </c>
      <c r="E39" s="43"/>
      <c r="F39" s="44"/>
      <c r="G39" s="43">
        <v>30.36</v>
      </c>
      <c r="H39" s="44"/>
      <c r="I39" s="43"/>
      <c r="J39" s="45"/>
    </row>
    <row r="40" spans="1:10">
      <c r="A40" s="41">
        <v>32</v>
      </c>
      <c r="B40" s="46">
        <v>46041</v>
      </c>
      <c r="C40" s="42" t="s">
        <v>1331</v>
      </c>
      <c r="D40" s="62" t="s">
        <v>1332</v>
      </c>
      <c r="E40" s="43"/>
      <c r="F40" s="44"/>
      <c r="G40" s="43">
        <v>2500</v>
      </c>
      <c r="H40" s="44"/>
      <c r="I40" s="43"/>
      <c r="J40" s="45"/>
    </row>
    <row r="41" spans="1:10">
      <c r="A41" s="41">
        <v>33</v>
      </c>
      <c r="B41" s="46">
        <v>46041</v>
      </c>
      <c r="C41" s="42" t="s">
        <v>1333</v>
      </c>
      <c r="D41" s="62" t="s">
        <v>1334</v>
      </c>
      <c r="E41" s="43"/>
      <c r="F41" s="44"/>
      <c r="G41" s="43">
        <v>113.05</v>
      </c>
      <c r="H41" s="44"/>
      <c r="I41" s="43"/>
      <c r="J41" s="45"/>
    </row>
    <row r="42" spans="1:10">
      <c r="A42" s="41">
        <v>34</v>
      </c>
      <c r="B42" s="46">
        <v>46041</v>
      </c>
      <c r="C42" s="42" t="s">
        <v>1335</v>
      </c>
      <c r="D42" s="62" t="s">
        <v>370</v>
      </c>
      <c r="E42" s="43"/>
      <c r="F42" s="44"/>
      <c r="G42" s="43">
        <v>100</v>
      </c>
      <c r="H42" s="44"/>
      <c r="I42" s="43"/>
      <c r="J42" s="45"/>
    </row>
    <row r="43" spans="1:10">
      <c r="A43" s="41">
        <v>35</v>
      </c>
      <c r="B43" s="46">
        <v>46041</v>
      </c>
      <c r="C43" s="42" t="s">
        <v>1336</v>
      </c>
      <c r="D43" s="62" t="s">
        <v>1337</v>
      </c>
      <c r="E43" s="43"/>
      <c r="F43" s="44"/>
      <c r="G43" s="43">
        <v>1300</v>
      </c>
      <c r="H43" s="44"/>
      <c r="I43" s="43"/>
      <c r="J43" s="45"/>
    </row>
    <row r="44" spans="1:10">
      <c r="A44" s="41">
        <v>36</v>
      </c>
      <c r="B44" s="46">
        <v>46041</v>
      </c>
      <c r="C44" s="42" t="s">
        <v>1338</v>
      </c>
      <c r="D44" s="62" t="s">
        <v>1339</v>
      </c>
      <c r="E44" s="43"/>
      <c r="F44" s="44"/>
      <c r="G44" s="43">
        <v>500</v>
      </c>
      <c r="H44" s="44"/>
      <c r="I44" s="43"/>
      <c r="J44" s="45"/>
    </row>
    <row r="45" spans="1:10">
      <c r="A45" s="41">
        <v>37</v>
      </c>
      <c r="B45" s="46">
        <v>46041</v>
      </c>
      <c r="C45" s="42" t="s">
        <v>1340</v>
      </c>
      <c r="D45" s="62" t="s">
        <v>1341</v>
      </c>
      <c r="E45" s="43"/>
      <c r="F45" s="44"/>
      <c r="G45" s="43">
        <v>731</v>
      </c>
      <c r="H45" s="44"/>
      <c r="I45" s="43"/>
      <c r="J45" s="45"/>
    </row>
    <row r="46" spans="1:10">
      <c r="A46" s="41">
        <v>38</v>
      </c>
      <c r="B46" s="46">
        <v>46041</v>
      </c>
      <c r="C46" s="42" t="s">
        <v>1342</v>
      </c>
      <c r="D46" s="62" t="s">
        <v>1343</v>
      </c>
      <c r="E46" s="43"/>
      <c r="F46" s="44"/>
      <c r="G46" s="43">
        <v>215.06</v>
      </c>
      <c r="H46" s="44"/>
      <c r="I46" s="43"/>
      <c r="J46" s="45"/>
    </row>
    <row r="47" spans="1:10">
      <c r="A47" s="41">
        <v>39</v>
      </c>
      <c r="B47" s="46">
        <v>46041</v>
      </c>
      <c r="C47" s="42" t="s">
        <v>1344</v>
      </c>
      <c r="D47" s="62" t="s">
        <v>205</v>
      </c>
      <c r="E47" s="43"/>
      <c r="F47" s="44"/>
      <c r="G47" s="43">
        <v>150</v>
      </c>
      <c r="H47" s="44"/>
      <c r="I47" s="43"/>
      <c r="J47" s="45"/>
    </row>
    <row r="48" spans="1:10">
      <c r="A48" s="41">
        <v>40</v>
      </c>
      <c r="B48" s="46">
        <v>46041</v>
      </c>
      <c r="C48" s="42" t="s">
        <v>1345</v>
      </c>
      <c r="D48" s="62" t="s">
        <v>1346</v>
      </c>
      <c r="E48" s="43"/>
      <c r="F48" s="44"/>
      <c r="G48" s="43">
        <v>93.94</v>
      </c>
      <c r="H48" s="44"/>
      <c r="I48" s="43"/>
      <c r="J48" s="45"/>
    </row>
    <row r="49" spans="1:10">
      <c r="A49" s="41">
        <v>41</v>
      </c>
      <c r="B49" s="46">
        <v>46041</v>
      </c>
      <c r="C49" s="42" t="s">
        <v>1347</v>
      </c>
      <c r="D49" s="62" t="s">
        <v>90</v>
      </c>
      <c r="E49" s="43"/>
      <c r="F49" s="44"/>
      <c r="G49" s="43">
        <v>1410</v>
      </c>
      <c r="H49" s="44"/>
      <c r="I49" s="43"/>
      <c r="J49" s="45"/>
    </row>
    <row r="50" spans="1:10">
      <c r="A50" s="41">
        <v>42</v>
      </c>
      <c r="B50" s="46">
        <v>46041</v>
      </c>
      <c r="C50" s="42" t="s">
        <v>1348</v>
      </c>
      <c r="D50" s="62" t="s">
        <v>315</v>
      </c>
      <c r="E50" s="43"/>
      <c r="F50" s="44"/>
      <c r="G50" s="43">
        <v>250</v>
      </c>
      <c r="H50" s="44"/>
      <c r="I50" s="43"/>
      <c r="J50" s="45"/>
    </row>
    <row r="51" spans="1:10">
      <c r="A51" s="41">
        <v>43</v>
      </c>
      <c r="B51" s="46">
        <v>46041</v>
      </c>
      <c r="C51" s="42" t="s">
        <v>1349</v>
      </c>
      <c r="D51" s="62" t="s">
        <v>1350</v>
      </c>
      <c r="E51" s="43"/>
      <c r="F51" s="44"/>
      <c r="G51" s="43"/>
      <c r="H51" s="44">
        <v>10112000</v>
      </c>
      <c r="I51" s="43"/>
      <c r="J51" s="45"/>
    </row>
    <row r="52" spans="1:10" s="9" customFormat="1" thickBot="1">
      <c r="A52" s="47"/>
      <c r="B52" s="48"/>
      <c r="C52" s="48"/>
      <c r="D52" s="68" t="s">
        <v>4</v>
      </c>
      <c r="E52" s="50"/>
      <c r="F52" s="49"/>
      <c r="G52" s="50">
        <v>38121.269999999997</v>
      </c>
      <c r="H52" s="49">
        <v>10112000</v>
      </c>
      <c r="I52" s="50">
        <v>51572.52</v>
      </c>
      <c r="J52" s="51">
        <f>J7+F8-H52</f>
        <v>290103728</v>
      </c>
    </row>
    <row r="54" spans="1:10">
      <c r="H54" s="10" t="s">
        <v>14</v>
      </c>
    </row>
    <row r="55" spans="1:10">
      <c r="H55" s="11" t="s">
        <v>15</v>
      </c>
    </row>
    <row r="117" spans="52:52">
      <c r="AZ117" s="1" t="s">
        <v>5</v>
      </c>
    </row>
  </sheetData>
  <mergeCells count="9">
    <mergeCell ref="A1:E2"/>
    <mergeCell ref="A3:J4"/>
    <mergeCell ref="A5:A6"/>
    <mergeCell ref="B5:B6"/>
    <mergeCell ref="C5:C6"/>
    <mergeCell ref="D5:D6"/>
    <mergeCell ref="E5:F5"/>
    <mergeCell ref="G5:H5"/>
    <mergeCell ref="I5:J5"/>
  </mergeCells>
  <pageMargins left="0.5" right="0" top="1" bottom="0.75" header="0" footer="0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CDF2C-BF19-4F7D-9619-DEBF656298FC}">
  <sheetPr>
    <tabColor rgb="FFFFFF00"/>
  </sheetPr>
  <dimension ref="A1:AZ105"/>
  <sheetViews>
    <sheetView topLeftCell="A21" zoomScaleNormal="100" workbookViewId="0">
      <selection activeCell="J40" sqref="J40"/>
    </sheetView>
  </sheetViews>
  <sheetFormatPr defaultColWidth="9.15234375" defaultRowHeight="12.9"/>
  <cols>
    <col min="1" max="1" width="4.23046875" style="1" bestFit="1" customWidth="1"/>
    <col min="2" max="2" width="6.84375" style="1" bestFit="1" customWidth="1"/>
    <col min="3" max="3" width="10.23046875" style="6" bestFit="1" customWidth="1"/>
    <col min="4" max="4" width="19.84375" style="69" customWidth="1"/>
    <col min="5" max="5" width="8.4609375" style="7" bestFit="1" customWidth="1"/>
    <col min="6" max="6" width="9.3046875" style="1" bestFit="1" customWidth="1"/>
    <col min="7" max="7" width="8.84375" style="1" bestFit="1" customWidth="1"/>
    <col min="8" max="8" width="9.765625" style="1" bestFit="1" customWidth="1"/>
    <col min="9" max="9" width="8.84375" style="1" bestFit="1" customWidth="1"/>
    <col min="10" max="10" width="10.61328125" style="1" bestFit="1" customWidth="1"/>
    <col min="11" max="16384" width="9.15234375" style="1"/>
  </cols>
  <sheetData>
    <row r="1" spans="1:52" ht="28.3" customHeight="1">
      <c r="A1" s="79" t="s">
        <v>17</v>
      </c>
      <c r="B1" s="80"/>
      <c r="C1" s="80"/>
      <c r="D1" s="80"/>
      <c r="E1" s="80"/>
    </row>
    <row r="2" spans="1:52" ht="28.3" customHeight="1">
      <c r="A2" s="80"/>
      <c r="B2" s="80"/>
      <c r="C2" s="80"/>
      <c r="D2" s="80"/>
      <c r="E2" s="80"/>
    </row>
    <row r="3" spans="1:52">
      <c r="A3" s="81" t="s">
        <v>11</v>
      </c>
      <c r="B3" s="81"/>
      <c r="C3" s="81"/>
      <c r="D3" s="81"/>
      <c r="E3" s="81"/>
      <c r="F3" s="81"/>
      <c r="G3" s="81"/>
      <c r="H3" s="81"/>
      <c r="I3" s="81"/>
      <c r="J3" s="81"/>
      <c r="AS3" s="2">
        <v>43921</v>
      </c>
      <c r="AZ3" s="1">
        <f>(AQ3-4)*20000</f>
        <v>-80000</v>
      </c>
    </row>
    <row r="4" spans="1:52" ht="13.3" thickBot="1">
      <c r="A4" s="81"/>
      <c r="B4" s="81"/>
      <c r="C4" s="81"/>
      <c r="D4" s="81"/>
      <c r="E4" s="81"/>
      <c r="F4" s="81"/>
      <c r="G4" s="81"/>
      <c r="H4" s="81"/>
      <c r="I4" s="81"/>
      <c r="J4" s="81"/>
    </row>
    <row r="5" spans="1:52">
      <c r="A5" s="82" t="s">
        <v>0</v>
      </c>
      <c r="B5" s="84" t="s">
        <v>9</v>
      </c>
      <c r="C5" s="86" t="s">
        <v>1</v>
      </c>
      <c r="D5" s="84" t="s">
        <v>10</v>
      </c>
      <c r="E5" s="88" t="s">
        <v>13</v>
      </c>
      <c r="F5" s="88"/>
      <c r="G5" s="88" t="s">
        <v>8</v>
      </c>
      <c r="H5" s="88"/>
      <c r="I5" s="88" t="s">
        <v>7</v>
      </c>
      <c r="J5" s="89"/>
    </row>
    <row r="6" spans="1:52">
      <c r="A6" s="83"/>
      <c r="B6" s="85"/>
      <c r="C6" s="87"/>
      <c r="D6" s="85"/>
      <c r="E6" s="38" t="s">
        <v>2</v>
      </c>
      <c r="F6" s="39" t="s">
        <v>6</v>
      </c>
      <c r="G6" s="39" t="s">
        <v>2</v>
      </c>
      <c r="H6" s="39" t="s">
        <v>6</v>
      </c>
      <c r="I6" s="39" t="s">
        <v>2</v>
      </c>
      <c r="J6" s="40" t="s">
        <v>6</v>
      </c>
    </row>
    <row r="7" spans="1:52">
      <c r="A7" s="41"/>
      <c r="B7" s="42"/>
      <c r="C7" s="42"/>
      <c r="D7" s="62" t="s">
        <v>12</v>
      </c>
      <c r="E7" s="43"/>
      <c r="F7" s="44"/>
      <c r="G7" s="43"/>
      <c r="H7" s="44"/>
      <c r="I7" s="43">
        <v>51572.52</v>
      </c>
      <c r="J7" s="45">
        <v>290103728</v>
      </c>
    </row>
    <row r="8" spans="1:52">
      <c r="A8" s="41"/>
      <c r="B8" s="42"/>
      <c r="C8" s="42"/>
      <c r="D8" s="62" t="s">
        <v>16</v>
      </c>
      <c r="E8" s="43">
        <v>38121</v>
      </c>
      <c r="F8" s="44">
        <f>10112000+6534</f>
        <v>10118534</v>
      </c>
      <c r="G8" s="43"/>
      <c r="H8" s="44"/>
      <c r="I8" s="43"/>
      <c r="J8" s="45"/>
    </row>
    <row r="9" spans="1:52">
      <c r="A9" s="41">
        <v>1</v>
      </c>
      <c r="B9" s="46">
        <v>46042</v>
      </c>
      <c r="C9" s="42" t="s">
        <v>1351</v>
      </c>
      <c r="D9" s="62" t="s">
        <v>1352</v>
      </c>
      <c r="E9" s="43"/>
      <c r="F9" s="44"/>
      <c r="G9" s="43">
        <v>200.73</v>
      </c>
      <c r="H9" s="44"/>
      <c r="I9" s="43"/>
      <c r="J9" s="45"/>
    </row>
    <row r="10" spans="1:52" ht="21.9">
      <c r="A10" s="41">
        <v>2</v>
      </c>
      <c r="B10" s="46">
        <v>46042</v>
      </c>
      <c r="C10" s="42" t="s">
        <v>1353</v>
      </c>
      <c r="D10" s="70" t="s">
        <v>2052</v>
      </c>
      <c r="E10" s="43"/>
      <c r="F10" s="44"/>
      <c r="G10" s="43">
        <v>35.33</v>
      </c>
      <c r="H10" s="44"/>
      <c r="I10" s="43"/>
      <c r="J10" s="45"/>
      <c r="AX10" s="5" t="s">
        <v>3</v>
      </c>
    </row>
    <row r="11" spans="1:52">
      <c r="A11" s="41">
        <v>3</v>
      </c>
      <c r="B11" s="46">
        <v>46042</v>
      </c>
      <c r="C11" s="42" t="s">
        <v>1354</v>
      </c>
      <c r="D11" s="62" t="s">
        <v>416</v>
      </c>
      <c r="E11" s="43"/>
      <c r="F11" s="44"/>
      <c r="G11" s="43">
        <v>115.51</v>
      </c>
      <c r="H11" s="44"/>
      <c r="I11" s="43"/>
      <c r="J11" s="45"/>
    </row>
    <row r="12" spans="1:52">
      <c r="A12" s="41">
        <v>4</v>
      </c>
      <c r="B12" s="46">
        <v>46042</v>
      </c>
      <c r="C12" s="42" t="s">
        <v>1355</v>
      </c>
      <c r="D12" s="62" t="s">
        <v>1356</v>
      </c>
      <c r="E12" s="43"/>
      <c r="F12" s="44"/>
      <c r="G12" s="43">
        <v>114.69</v>
      </c>
      <c r="H12" s="44"/>
      <c r="I12" s="43"/>
      <c r="J12" s="45"/>
    </row>
    <row r="13" spans="1:52">
      <c r="A13" s="41">
        <v>5</v>
      </c>
      <c r="B13" s="46">
        <v>46042</v>
      </c>
      <c r="C13" s="42" t="s">
        <v>1357</v>
      </c>
      <c r="D13" s="62" t="s">
        <v>1358</v>
      </c>
      <c r="E13" s="43"/>
      <c r="F13" s="44"/>
      <c r="G13" s="43">
        <v>225.82</v>
      </c>
      <c r="H13" s="44"/>
      <c r="I13" s="43"/>
      <c r="J13" s="45"/>
    </row>
    <row r="14" spans="1:52">
      <c r="A14" s="41">
        <v>6</v>
      </c>
      <c r="B14" s="46">
        <v>46042</v>
      </c>
      <c r="C14" s="42" t="s">
        <v>1359</v>
      </c>
      <c r="D14" s="62" t="s">
        <v>195</v>
      </c>
      <c r="E14" s="43"/>
      <c r="F14" s="44"/>
      <c r="G14" s="43">
        <v>300</v>
      </c>
      <c r="H14" s="44"/>
      <c r="I14" s="43"/>
      <c r="J14" s="45"/>
    </row>
    <row r="15" spans="1:52">
      <c r="A15" s="41">
        <v>7</v>
      </c>
      <c r="B15" s="46">
        <v>46042</v>
      </c>
      <c r="C15" s="42" t="s">
        <v>1360</v>
      </c>
      <c r="D15" s="62" t="s">
        <v>1361</v>
      </c>
      <c r="E15" s="43"/>
      <c r="F15" s="44"/>
      <c r="G15" s="43">
        <v>230</v>
      </c>
      <c r="H15" s="44"/>
      <c r="I15" s="43"/>
      <c r="J15" s="45"/>
    </row>
    <row r="16" spans="1:52">
      <c r="A16" s="41">
        <v>8</v>
      </c>
      <c r="B16" s="46">
        <v>46042</v>
      </c>
      <c r="C16" s="42" t="s">
        <v>1362</v>
      </c>
      <c r="D16" s="62" t="s">
        <v>1363</v>
      </c>
      <c r="E16" s="43"/>
      <c r="F16" s="44"/>
      <c r="G16" s="43">
        <v>500</v>
      </c>
      <c r="H16" s="44"/>
      <c r="I16" s="43"/>
      <c r="J16" s="45"/>
    </row>
    <row r="17" spans="1:10">
      <c r="A17" s="41">
        <v>9</v>
      </c>
      <c r="B17" s="46">
        <v>46042</v>
      </c>
      <c r="C17" s="42" t="s">
        <v>1364</v>
      </c>
      <c r="D17" s="62" t="s">
        <v>426</v>
      </c>
      <c r="E17" s="43"/>
      <c r="F17" s="44"/>
      <c r="G17" s="43">
        <v>250</v>
      </c>
      <c r="H17" s="44"/>
      <c r="I17" s="43"/>
      <c r="J17" s="45"/>
    </row>
    <row r="18" spans="1:10">
      <c r="A18" s="41">
        <v>10</v>
      </c>
      <c r="B18" s="46">
        <v>46042</v>
      </c>
      <c r="C18" s="42" t="s">
        <v>1365</v>
      </c>
      <c r="D18" s="62" t="s">
        <v>426</v>
      </c>
      <c r="E18" s="43"/>
      <c r="F18" s="44"/>
      <c r="G18" s="43">
        <v>300</v>
      </c>
      <c r="H18" s="44"/>
      <c r="I18" s="43"/>
      <c r="J18" s="45"/>
    </row>
    <row r="19" spans="1:10">
      <c r="A19" s="41">
        <v>11</v>
      </c>
      <c r="B19" s="46">
        <v>46042</v>
      </c>
      <c r="C19" s="42" t="s">
        <v>1366</v>
      </c>
      <c r="D19" s="62" t="s">
        <v>1367</v>
      </c>
      <c r="E19" s="43"/>
      <c r="F19" s="44"/>
      <c r="G19" s="43">
        <v>800</v>
      </c>
      <c r="H19" s="44"/>
      <c r="I19" s="43"/>
      <c r="J19" s="45"/>
    </row>
    <row r="20" spans="1:10">
      <c r="A20" s="41">
        <v>12</v>
      </c>
      <c r="B20" s="46">
        <v>46042</v>
      </c>
      <c r="C20" s="42" t="s">
        <v>1368</v>
      </c>
      <c r="D20" s="62" t="s">
        <v>752</v>
      </c>
      <c r="E20" s="43"/>
      <c r="F20" s="44"/>
      <c r="G20" s="43">
        <v>800</v>
      </c>
      <c r="H20" s="44"/>
      <c r="I20" s="43"/>
      <c r="J20" s="45"/>
    </row>
    <row r="21" spans="1:10">
      <c r="A21" s="41">
        <v>13</v>
      </c>
      <c r="B21" s="46">
        <v>46042</v>
      </c>
      <c r="C21" s="42" t="s">
        <v>1369</v>
      </c>
      <c r="D21" s="62" t="s">
        <v>529</v>
      </c>
      <c r="E21" s="43"/>
      <c r="F21" s="44"/>
      <c r="G21" s="43">
        <v>150</v>
      </c>
      <c r="H21" s="44"/>
      <c r="I21" s="43"/>
      <c r="J21" s="45"/>
    </row>
    <row r="22" spans="1:10">
      <c r="A22" s="41">
        <v>14</v>
      </c>
      <c r="B22" s="46">
        <v>46042</v>
      </c>
      <c r="C22" s="42" t="s">
        <v>1370</v>
      </c>
      <c r="D22" s="62" t="s">
        <v>1371</v>
      </c>
      <c r="E22" s="43"/>
      <c r="F22" s="44"/>
      <c r="G22" s="43">
        <v>250</v>
      </c>
      <c r="H22" s="44"/>
      <c r="I22" s="43"/>
      <c r="J22" s="45"/>
    </row>
    <row r="23" spans="1:10">
      <c r="A23" s="41">
        <v>15</v>
      </c>
      <c r="B23" s="46">
        <v>46042</v>
      </c>
      <c r="C23" s="42" t="s">
        <v>1372</v>
      </c>
      <c r="D23" s="62" t="s">
        <v>1373</v>
      </c>
      <c r="E23" s="43"/>
      <c r="F23" s="44"/>
      <c r="G23" s="43">
        <v>595.84</v>
      </c>
      <c r="H23" s="44"/>
      <c r="I23" s="43"/>
      <c r="J23" s="45"/>
    </row>
    <row r="24" spans="1:10">
      <c r="A24" s="41">
        <v>16</v>
      </c>
      <c r="B24" s="46">
        <v>46042</v>
      </c>
      <c r="C24" s="42" t="s">
        <v>1374</v>
      </c>
      <c r="D24" s="62" t="s">
        <v>1375</v>
      </c>
      <c r="E24" s="43"/>
      <c r="F24" s="44"/>
      <c r="G24" s="43">
        <v>1000</v>
      </c>
      <c r="H24" s="44"/>
      <c r="I24" s="43"/>
      <c r="J24" s="45"/>
    </row>
    <row r="25" spans="1:10">
      <c r="A25" s="41">
        <v>17</v>
      </c>
      <c r="B25" s="46">
        <v>46042</v>
      </c>
      <c r="C25" s="42" t="s">
        <v>1376</v>
      </c>
      <c r="D25" s="62" t="s">
        <v>1377</v>
      </c>
      <c r="E25" s="43"/>
      <c r="F25" s="44"/>
      <c r="G25" s="43">
        <v>2610</v>
      </c>
      <c r="H25" s="44"/>
      <c r="I25" s="43"/>
      <c r="J25" s="45"/>
    </row>
    <row r="26" spans="1:10">
      <c r="A26" s="41">
        <v>18</v>
      </c>
      <c r="B26" s="46">
        <v>46042</v>
      </c>
      <c r="C26" s="42" t="s">
        <v>1378</v>
      </c>
      <c r="D26" s="62" t="s">
        <v>1379</v>
      </c>
      <c r="E26" s="43"/>
      <c r="F26" s="44"/>
      <c r="G26" s="43">
        <v>344.53</v>
      </c>
      <c r="H26" s="44"/>
      <c r="I26" s="43"/>
      <c r="J26" s="45"/>
    </row>
    <row r="27" spans="1:10">
      <c r="A27" s="41">
        <v>19</v>
      </c>
      <c r="B27" s="46">
        <v>46042</v>
      </c>
      <c r="C27" s="42" t="s">
        <v>1380</v>
      </c>
      <c r="D27" s="62" t="s">
        <v>1381</v>
      </c>
      <c r="E27" s="43"/>
      <c r="F27" s="44"/>
      <c r="G27" s="43">
        <v>920</v>
      </c>
      <c r="H27" s="44"/>
      <c r="I27" s="43"/>
      <c r="J27" s="45"/>
    </row>
    <row r="28" spans="1:10">
      <c r="A28" s="41">
        <v>20</v>
      </c>
      <c r="B28" s="46">
        <v>46042</v>
      </c>
      <c r="C28" s="42" t="s">
        <v>1382</v>
      </c>
      <c r="D28" s="62" t="s">
        <v>1383</v>
      </c>
      <c r="E28" s="43"/>
      <c r="F28" s="44"/>
      <c r="G28" s="43">
        <v>300</v>
      </c>
      <c r="H28" s="44"/>
      <c r="I28" s="43"/>
      <c r="J28" s="45"/>
    </row>
    <row r="29" spans="1:10" s="9" customFormat="1" ht="12.45">
      <c r="A29" s="41">
        <v>21</v>
      </c>
      <c r="B29" s="46">
        <v>46042</v>
      </c>
      <c r="C29" s="42" t="s">
        <v>1384</v>
      </c>
      <c r="D29" s="62" t="s">
        <v>1385</v>
      </c>
      <c r="E29" s="43"/>
      <c r="F29" s="44"/>
      <c r="G29" s="43">
        <v>800</v>
      </c>
      <c r="H29" s="44"/>
      <c r="I29" s="43"/>
      <c r="J29" s="45"/>
    </row>
    <row r="30" spans="1:10">
      <c r="A30" s="41">
        <v>22</v>
      </c>
      <c r="B30" s="46">
        <v>46042</v>
      </c>
      <c r="C30" s="42" t="s">
        <v>1386</v>
      </c>
      <c r="D30" s="62" t="s">
        <v>1385</v>
      </c>
      <c r="E30" s="43"/>
      <c r="F30" s="44"/>
      <c r="G30" s="43">
        <v>500</v>
      </c>
      <c r="H30" s="44"/>
      <c r="I30" s="43"/>
      <c r="J30" s="45"/>
    </row>
    <row r="31" spans="1:10">
      <c r="A31" s="41">
        <v>23</v>
      </c>
      <c r="B31" s="46">
        <v>46042</v>
      </c>
      <c r="C31" s="42" t="s">
        <v>1387</v>
      </c>
      <c r="D31" s="62" t="s">
        <v>1388</v>
      </c>
      <c r="E31" s="43"/>
      <c r="F31" s="44"/>
      <c r="G31" s="43">
        <v>571.17999999999995</v>
      </c>
      <c r="H31" s="44"/>
      <c r="I31" s="43"/>
      <c r="J31" s="45"/>
    </row>
    <row r="32" spans="1:10">
      <c r="A32" s="41">
        <v>24</v>
      </c>
      <c r="B32" s="46">
        <v>46042</v>
      </c>
      <c r="C32" s="42" t="s">
        <v>1389</v>
      </c>
      <c r="D32" s="62" t="s">
        <v>1390</v>
      </c>
      <c r="E32" s="43"/>
      <c r="F32" s="44"/>
      <c r="G32" s="43">
        <v>286.57</v>
      </c>
      <c r="H32" s="44"/>
      <c r="I32" s="43"/>
      <c r="J32" s="45"/>
    </row>
    <row r="33" spans="1:10">
      <c r="A33" s="41">
        <v>25</v>
      </c>
      <c r="B33" s="46">
        <v>46042</v>
      </c>
      <c r="C33" s="42" t="s">
        <v>1391</v>
      </c>
      <c r="D33" s="62" t="s">
        <v>1392</v>
      </c>
      <c r="E33" s="43"/>
      <c r="F33" s="44"/>
      <c r="G33" s="43">
        <v>3000</v>
      </c>
      <c r="H33" s="44"/>
      <c r="I33" s="43"/>
      <c r="J33" s="45"/>
    </row>
    <row r="34" spans="1:10">
      <c r="A34" s="41">
        <v>26</v>
      </c>
      <c r="B34" s="46">
        <v>46042</v>
      </c>
      <c r="C34" s="42" t="s">
        <v>1393</v>
      </c>
      <c r="D34" s="62" t="s">
        <v>1394</v>
      </c>
      <c r="E34" s="43"/>
      <c r="F34" s="44"/>
      <c r="G34" s="43">
        <v>700</v>
      </c>
      <c r="H34" s="44"/>
      <c r="I34" s="43"/>
      <c r="J34" s="45"/>
    </row>
    <row r="35" spans="1:10">
      <c r="A35" s="41">
        <v>27</v>
      </c>
      <c r="B35" s="46">
        <v>46042</v>
      </c>
      <c r="C35" s="42" t="s">
        <v>1395</v>
      </c>
      <c r="D35" s="62" t="s">
        <v>1396</v>
      </c>
      <c r="E35" s="43"/>
      <c r="F35" s="44"/>
      <c r="G35" s="43">
        <v>150</v>
      </c>
      <c r="H35" s="44"/>
      <c r="I35" s="43"/>
      <c r="J35" s="45"/>
    </row>
    <row r="36" spans="1:10">
      <c r="A36" s="41">
        <v>28</v>
      </c>
      <c r="B36" s="46">
        <v>46042</v>
      </c>
      <c r="C36" s="42" t="s">
        <v>1397</v>
      </c>
      <c r="D36" s="62" t="s">
        <v>188</v>
      </c>
      <c r="E36" s="43"/>
      <c r="F36" s="44"/>
      <c r="G36" s="43"/>
      <c r="H36" s="44">
        <v>3360000</v>
      </c>
      <c r="I36" s="43"/>
      <c r="J36" s="45"/>
    </row>
    <row r="37" spans="1:10">
      <c r="A37" s="41">
        <v>29</v>
      </c>
      <c r="B37" s="46">
        <v>46042</v>
      </c>
      <c r="C37" s="42" t="s">
        <v>1398</v>
      </c>
      <c r="D37" s="62" t="s">
        <v>1399</v>
      </c>
      <c r="E37" s="43"/>
      <c r="F37" s="44"/>
      <c r="G37" s="43"/>
      <c r="H37" s="44">
        <v>12337000</v>
      </c>
      <c r="I37" s="43"/>
      <c r="J37" s="45"/>
    </row>
    <row r="38" spans="1:10">
      <c r="A38" s="41">
        <v>30</v>
      </c>
      <c r="B38" s="46">
        <v>46042</v>
      </c>
      <c r="C38" s="42" t="s">
        <v>1400</v>
      </c>
      <c r="D38" s="62" t="s">
        <v>1401</v>
      </c>
      <c r="E38" s="43"/>
      <c r="F38" s="44"/>
      <c r="G38" s="43"/>
      <c r="H38" s="44">
        <v>9470000</v>
      </c>
      <c r="I38" s="43"/>
      <c r="J38" s="45"/>
    </row>
    <row r="39" spans="1:10">
      <c r="A39" s="41">
        <v>31</v>
      </c>
      <c r="B39" s="46">
        <v>46042</v>
      </c>
      <c r="C39" s="42" t="s">
        <v>1402</v>
      </c>
      <c r="D39" s="62" t="s">
        <v>1403</v>
      </c>
      <c r="E39" s="43"/>
      <c r="F39" s="44"/>
      <c r="G39" s="43"/>
      <c r="H39" s="44">
        <v>8748000</v>
      </c>
      <c r="I39" s="43"/>
      <c r="J39" s="45"/>
    </row>
    <row r="40" spans="1:10" s="9" customFormat="1" thickBot="1">
      <c r="A40" s="47"/>
      <c r="B40" s="48"/>
      <c r="C40" s="48"/>
      <c r="D40" s="68" t="s">
        <v>4</v>
      </c>
      <c r="E40" s="50"/>
      <c r="F40" s="49"/>
      <c r="G40" s="50">
        <v>16050.2</v>
      </c>
      <c r="H40" s="49">
        <v>33915000</v>
      </c>
      <c r="I40" s="50">
        <v>73643.320000000007</v>
      </c>
      <c r="J40" s="51">
        <f>J7+F8-H40</f>
        <v>266307262</v>
      </c>
    </row>
    <row r="42" spans="1:10">
      <c r="H42" s="10" t="s">
        <v>14</v>
      </c>
    </row>
    <row r="43" spans="1:10">
      <c r="H43" s="11" t="s">
        <v>15</v>
      </c>
    </row>
    <row r="105" spans="52:52">
      <c r="AZ105" s="1" t="s">
        <v>5</v>
      </c>
    </row>
  </sheetData>
  <mergeCells count="9">
    <mergeCell ref="A1:E2"/>
    <mergeCell ref="A3:J4"/>
    <mergeCell ref="A5:A6"/>
    <mergeCell ref="B5:B6"/>
    <mergeCell ref="C5:C6"/>
    <mergeCell ref="D5:D6"/>
    <mergeCell ref="E5:F5"/>
    <mergeCell ref="G5:H5"/>
    <mergeCell ref="I5:J5"/>
  </mergeCells>
  <pageMargins left="0.5" right="0" top="0.5" bottom="0.5" header="0" footer="0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404F3-0568-417E-9C47-C1CE9A5994E9}">
  <sheetPr>
    <tabColor rgb="FFFFFF00"/>
  </sheetPr>
  <dimension ref="A1:AZ105"/>
  <sheetViews>
    <sheetView topLeftCell="A28" zoomScale="85" zoomScaleNormal="85" workbookViewId="0">
      <selection activeCell="J46" sqref="J46"/>
    </sheetView>
  </sheetViews>
  <sheetFormatPr defaultColWidth="9.15234375" defaultRowHeight="12.9"/>
  <cols>
    <col min="1" max="1" width="4.23046875" style="1" bestFit="1" customWidth="1"/>
    <col min="2" max="2" width="6.84375" style="1" bestFit="1" customWidth="1"/>
    <col min="3" max="3" width="10.23046875" style="6" bestFit="1" customWidth="1"/>
    <col min="4" max="4" width="22" style="1" customWidth="1"/>
    <col min="5" max="5" width="8.4609375" style="7" bestFit="1" customWidth="1"/>
    <col min="6" max="6" width="9.3046875" style="1" bestFit="1" customWidth="1"/>
    <col min="7" max="7" width="8.84375" style="1" bestFit="1" customWidth="1"/>
    <col min="8" max="8" width="9.765625" style="1" bestFit="1" customWidth="1"/>
    <col min="9" max="9" width="8.84375" style="1" bestFit="1" customWidth="1"/>
    <col min="10" max="10" width="10.61328125" style="1" bestFit="1" customWidth="1"/>
    <col min="11" max="16384" width="9.15234375" style="1"/>
  </cols>
  <sheetData>
    <row r="1" spans="1:52" ht="28.3" customHeight="1">
      <c r="A1" s="79" t="s">
        <v>17</v>
      </c>
      <c r="B1" s="80"/>
      <c r="C1" s="80"/>
      <c r="D1" s="80"/>
      <c r="E1" s="80"/>
    </row>
    <row r="2" spans="1:52" ht="28.3" customHeight="1">
      <c r="A2" s="80"/>
      <c r="B2" s="80"/>
      <c r="C2" s="80"/>
      <c r="D2" s="80"/>
      <c r="E2" s="80"/>
    </row>
    <row r="3" spans="1:52">
      <c r="A3" s="81" t="s">
        <v>11</v>
      </c>
      <c r="B3" s="81"/>
      <c r="C3" s="81"/>
      <c r="D3" s="81"/>
      <c r="E3" s="81"/>
      <c r="F3" s="81"/>
      <c r="G3" s="81"/>
      <c r="H3" s="81"/>
      <c r="I3" s="81"/>
      <c r="J3" s="81"/>
      <c r="AS3" s="2">
        <v>43921</v>
      </c>
      <c r="AZ3" s="1">
        <f>(AQ3-4)*20000</f>
        <v>-80000</v>
      </c>
    </row>
    <row r="4" spans="1:52" ht="13.3" thickBot="1">
      <c r="A4" s="81"/>
      <c r="B4" s="81"/>
      <c r="C4" s="81"/>
      <c r="D4" s="81"/>
      <c r="E4" s="81"/>
      <c r="F4" s="81"/>
      <c r="G4" s="81"/>
      <c r="H4" s="81"/>
      <c r="I4" s="81"/>
      <c r="J4" s="81"/>
    </row>
    <row r="5" spans="1:52">
      <c r="A5" s="82" t="s">
        <v>0</v>
      </c>
      <c r="B5" s="84" t="s">
        <v>9</v>
      </c>
      <c r="C5" s="86" t="s">
        <v>1</v>
      </c>
      <c r="D5" s="84" t="s">
        <v>10</v>
      </c>
      <c r="E5" s="88" t="s">
        <v>13</v>
      </c>
      <c r="F5" s="88"/>
      <c r="G5" s="88" t="s">
        <v>8</v>
      </c>
      <c r="H5" s="88"/>
      <c r="I5" s="88" t="s">
        <v>7</v>
      </c>
      <c r="J5" s="89"/>
    </row>
    <row r="6" spans="1:52">
      <c r="A6" s="83"/>
      <c r="B6" s="85"/>
      <c r="C6" s="87"/>
      <c r="D6" s="85"/>
      <c r="E6" s="38" t="s">
        <v>2</v>
      </c>
      <c r="F6" s="39" t="s">
        <v>6</v>
      </c>
      <c r="G6" s="39" t="s">
        <v>2</v>
      </c>
      <c r="H6" s="39" t="s">
        <v>6</v>
      </c>
      <c r="I6" s="39" t="s">
        <v>2</v>
      </c>
      <c r="J6" s="40" t="s">
        <v>6</v>
      </c>
    </row>
    <row r="7" spans="1:52">
      <c r="A7" s="41"/>
      <c r="B7" s="42"/>
      <c r="C7" s="42"/>
      <c r="D7" s="42" t="s">
        <v>12</v>
      </c>
      <c r="E7" s="43"/>
      <c r="F7" s="44"/>
      <c r="G7" s="43"/>
      <c r="H7" s="44"/>
      <c r="I7" s="43">
        <v>73643.320000000007</v>
      </c>
      <c r="J7" s="45">
        <v>266307262</v>
      </c>
    </row>
    <row r="8" spans="1:52">
      <c r="A8" s="41"/>
      <c r="B8" s="42"/>
      <c r="C8" s="42"/>
      <c r="D8" s="42" t="s">
        <v>16</v>
      </c>
      <c r="E8" s="43">
        <v>16050</v>
      </c>
      <c r="F8" s="44">
        <f>33915000+4840</f>
        <v>33919840</v>
      </c>
      <c r="G8" s="43"/>
      <c r="H8" s="44"/>
      <c r="I8" s="43"/>
      <c r="J8" s="45"/>
    </row>
    <row r="9" spans="1:52">
      <c r="A9" s="41">
        <v>1</v>
      </c>
      <c r="B9" s="46">
        <v>46043</v>
      </c>
      <c r="C9" s="42" t="s">
        <v>1404</v>
      </c>
      <c r="D9" s="42" t="s">
        <v>1405</v>
      </c>
      <c r="E9" s="43"/>
      <c r="F9" s="44"/>
      <c r="G9" s="43">
        <v>1100</v>
      </c>
      <c r="H9" s="44"/>
      <c r="I9" s="43"/>
      <c r="J9" s="45"/>
    </row>
    <row r="10" spans="1:52">
      <c r="A10" s="41">
        <v>2</v>
      </c>
      <c r="B10" s="46">
        <v>46043</v>
      </c>
      <c r="C10" s="42" t="s">
        <v>1406</v>
      </c>
      <c r="D10" s="42" t="s">
        <v>1407</v>
      </c>
      <c r="E10" s="43"/>
      <c r="F10" s="44"/>
      <c r="G10" s="43">
        <v>800</v>
      </c>
      <c r="H10" s="44"/>
      <c r="I10" s="43"/>
      <c r="J10" s="45"/>
      <c r="AX10" s="5" t="s">
        <v>3</v>
      </c>
    </row>
    <row r="11" spans="1:52">
      <c r="A11" s="41">
        <v>3</v>
      </c>
      <c r="B11" s="46">
        <v>46043</v>
      </c>
      <c r="C11" s="42" t="s">
        <v>1408</v>
      </c>
      <c r="D11" s="42" t="s">
        <v>267</v>
      </c>
      <c r="E11" s="43"/>
      <c r="F11" s="44"/>
      <c r="G11" s="43">
        <v>300</v>
      </c>
      <c r="H11" s="44"/>
      <c r="I11" s="43"/>
      <c r="J11" s="45"/>
    </row>
    <row r="12" spans="1:52">
      <c r="A12" s="41">
        <v>4</v>
      </c>
      <c r="B12" s="46">
        <v>46043</v>
      </c>
      <c r="C12" s="42" t="s">
        <v>1409</v>
      </c>
      <c r="D12" s="42" t="s">
        <v>1410</v>
      </c>
      <c r="E12" s="43"/>
      <c r="F12" s="44"/>
      <c r="G12" s="43">
        <v>650.72</v>
      </c>
      <c r="H12" s="44"/>
      <c r="I12" s="43"/>
      <c r="J12" s="45"/>
    </row>
    <row r="13" spans="1:52">
      <c r="A13" s="41">
        <v>5</v>
      </c>
      <c r="B13" s="46">
        <v>46043</v>
      </c>
      <c r="C13" s="42" t="s">
        <v>1411</v>
      </c>
      <c r="D13" s="42" t="s">
        <v>1412</v>
      </c>
      <c r="E13" s="43"/>
      <c r="F13" s="44"/>
      <c r="G13" s="43">
        <v>25</v>
      </c>
      <c r="H13" s="44"/>
      <c r="I13" s="43"/>
      <c r="J13" s="45"/>
    </row>
    <row r="14" spans="1:52">
      <c r="A14" s="41">
        <v>6</v>
      </c>
      <c r="B14" s="46">
        <v>46043</v>
      </c>
      <c r="C14" s="42" t="s">
        <v>1413</v>
      </c>
      <c r="D14" s="42" t="s">
        <v>1414</v>
      </c>
      <c r="E14" s="43"/>
      <c r="F14" s="44"/>
      <c r="G14" s="43">
        <v>265.75</v>
      </c>
      <c r="H14" s="44"/>
      <c r="I14" s="43"/>
      <c r="J14" s="45"/>
    </row>
    <row r="15" spans="1:52">
      <c r="A15" s="41">
        <v>7</v>
      </c>
      <c r="B15" s="46">
        <v>46043</v>
      </c>
      <c r="C15" s="42" t="s">
        <v>1415</v>
      </c>
      <c r="D15" s="42" t="s">
        <v>1416</v>
      </c>
      <c r="E15" s="43"/>
      <c r="F15" s="44"/>
      <c r="G15" s="43">
        <v>1000</v>
      </c>
      <c r="H15" s="44"/>
      <c r="I15" s="43"/>
      <c r="J15" s="45"/>
    </row>
    <row r="16" spans="1:52">
      <c r="A16" s="41">
        <v>8</v>
      </c>
      <c r="B16" s="46">
        <v>46043</v>
      </c>
      <c r="C16" s="42" t="s">
        <v>1417</v>
      </c>
      <c r="D16" s="42" t="s">
        <v>1418</v>
      </c>
      <c r="E16" s="43"/>
      <c r="F16" s="44"/>
      <c r="G16" s="43">
        <v>171.65</v>
      </c>
      <c r="H16" s="44"/>
      <c r="I16" s="43"/>
      <c r="J16" s="45"/>
    </row>
    <row r="17" spans="1:10">
      <c r="A17" s="41">
        <v>9</v>
      </c>
      <c r="B17" s="46">
        <v>46043</v>
      </c>
      <c r="C17" s="42" t="s">
        <v>1419</v>
      </c>
      <c r="D17" s="42" t="s">
        <v>1420</v>
      </c>
      <c r="E17" s="43"/>
      <c r="F17" s="44"/>
      <c r="G17" s="43">
        <v>2000</v>
      </c>
      <c r="H17" s="44"/>
      <c r="I17" s="43"/>
      <c r="J17" s="45"/>
    </row>
    <row r="18" spans="1:10">
      <c r="A18" s="41">
        <v>10</v>
      </c>
      <c r="B18" s="46">
        <v>46043</v>
      </c>
      <c r="C18" s="42" t="s">
        <v>1421</v>
      </c>
      <c r="D18" s="42" t="s">
        <v>1422</v>
      </c>
      <c r="E18" s="43"/>
      <c r="F18" s="44"/>
      <c r="G18" s="43">
        <v>107.28</v>
      </c>
      <c r="H18" s="44"/>
      <c r="I18" s="43"/>
      <c r="J18" s="45"/>
    </row>
    <row r="19" spans="1:10">
      <c r="A19" s="41">
        <v>11</v>
      </c>
      <c r="B19" s="46">
        <v>46043</v>
      </c>
      <c r="C19" s="42" t="s">
        <v>1423</v>
      </c>
      <c r="D19" s="42" t="s">
        <v>1424</v>
      </c>
      <c r="E19" s="43"/>
      <c r="F19" s="44"/>
      <c r="G19" s="43">
        <v>90.78</v>
      </c>
      <c r="H19" s="44"/>
      <c r="I19" s="43"/>
      <c r="J19" s="45"/>
    </row>
    <row r="20" spans="1:10">
      <c r="A20" s="41">
        <v>12</v>
      </c>
      <c r="B20" s="46">
        <v>46043</v>
      </c>
      <c r="C20" s="42" t="s">
        <v>1425</v>
      </c>
      <c r="D20" s="42" t="s">
        <v>412</v>
      </c>
      <c r="E20" s="43"/>
      <c r="F20" s="44"/>
      <c r="G20" s="43">
        <v>600</v>
      </c>
      <c r="H20" s="44"/>
      <c r="I20" s="43"/>
      <c r="J20" s="45"/>
    </row>
    <row r="21" spans="1:10">
      <c r="A21" s="41">
        <v>13</v>
      </c>
      <c r="B21" s="46">
        <v>46043</v>
      </c>
      <c r="C21" s="42" t="s">
        <v>1426</v>
      </c>
      <c r="D21" s="42" t="s">
        <v>1379</v>
      </c>
      <c r="E21" s="43"/>
      <c r="F21" s="44"/>
      <c r="G21" s="43">
        <v>317.62</v>
      </c>
      <c r="H21" s="44"/>
      <c r="I21" s="43"/>
      <c r="J21" s="45"/>
    </row>
    <row r="22" spans="1:10">
      <c r="A22" s="41">
        <v>14</v>
      </c>
      <c r="B22" s="46">
        <v>46043</v>
      </c>
      <c r="C22" s="42" t="s">
        <v>1427</v>
      </c>
      <c r="D22" s="42" t="s">
        <v>1428</v>
      </c>
      <c r="E22" s="43"/>
      <c r="F22" s="44"/>
      <c r="G22" s="43">
        <v>437.05</v>
      </c>
      <c r="H22" s="44"/>
      <c r="I22" s="43"/>
      <c r="J22" s="45"/>
    </row>
    <row r="23" spans="1:10">
      <c r="A23" s="41">
        <v>15</v>
      </c>
      <c r="B23" s="46">
        <v>46043</v>
      </c>
      <c r="C23" s="42" t="s">
        <v>1429</v>
      </c>
      <c r="D23" s="42" t="s">
        <v>1430</v>
      </c>
      <c r="E23" s="43"/>
      <c r="F23" s="44"/>
      <c r="G23" s="43">
        <v>5000</v>
      </c>
      <c r="H23" s="44"/>
      <c r="I23" s="43"/>
      <c r="J23" s="45"/>
    </row>
    <row r="24" spans="1:10">
      <c r="A24" s="41">
        <v>16</v>
      </c>
      <c r="B24" s="46">
        <v>46043</v>
      </c>
      <c r="C24" s="42" t="s">
        <v>1431</v>
      </c>
      <c r="D24" s="42" t="s">
        <v>1432</v>
      </c>
      <c r="E24" s="43"/>
      <c r="F24" s="44"/>
      <c r="G24" s="43">
        <v>132.85</v>
      </c>
      <c r="H24" s="44"/>
      <c r="I24" s="43"/>
      <c r="J24" s="45"/>
    </row>
    <row r="25" spans="1:10">
      <c r="A25" s="41">
        <v>17</v>
      </c>
      <c r="B25" s="46">
        <v>46043</v>
      </c>
      <c r="C25" s="42" t="s">
        <v>1433</v>
      </c>
      <c r="D25" s="42" t="s">
        <v>747</v>
      </c>
      <c r="E25" s="43"/>
      <c r="F25" s="44"/>
      <c r="G25" s="43">
        <v>250</v>
      </c>
      <c r="H25" s="44"/>
      <c r="I25" s="43"/>
      <c r="J25" s="45"/>
    </row>
    <row r="26" spans="1:10">
      <c r="A26" s="41">
        <v>18</v>
      </c>
      <c r="B26" s="46">
        <v>46043</v>
      </c>
      <c r="C26" s="42" t="s">
        <v>1434</v>
      </c>
      <c r="D26" s="42" t="s">
        <v>57</v>
      </c>
      <c r="E26" s="43"/>
      <c r="F26" s="44"/>
      <c r="G26" s="43">
        <v>191.27</v>
      </c>
      <c r="H26" s="44"/>
      <c r="I26" s="43"/>
      <c r="J26" s="45"/>
    </row>
    <row r="27" spans="1:10">
      <c r="A27" s="41">
        <v>19</v>
      </c>
      <c r="B27" s="46">
        <v>46043</v>
      </c>
      <c r="C27" s="42" t="s">
        <v>1435</v>
      </c>
      <c r="D27" s="42" t="s">
        <v>1436</v>
      </c>
      <c r="E27" s="43"/>
      <c r="F27" s="44"/>
      <c r="G27" s="43">
        <v>2600</v>
      </c>
      <c r="H27" s="44"/>
      <c r="I27" s="43"/>
      <c r="J27" s="45"/>
    </row>
    <row r="28" spans="1:10">
      <c r="A28" s="41">
        <v>20</v>
      </c>
      <c r="B28" s="46">
        <v>46043</v>
      </c>
      <c r="C28" s="42" t="s">
        <v>1437</v>
      </c>
      <c r="D28" s="42" t="s">
        <v>1438</v>
      </c>
      <c r="E28" s="43"/>
      <c r="F28" s="44"/>
      <c r="G28" s="43">
        <v>1000</v>
      </c>
      <c r="H28" s="44"/>
      <c r="I28" s="43"/>
      <c r="J28" s="45"/>
    </row>
    <row r="29" spans="1:10" s="9" customFormat="1" ht="12.45">
      <c r="A29" s="41">
        <v>21</v>
      </c>
      <c r="B29" s="46">
        <v>46043</v>
      </c>
      <c r="C29" s="42" t="s">
        <v>1439</v>
      </c>
      <c r="D29" s="42" t="s">
        <v>1440</v>
      </c>
      <c r="E29" s="43"/>
      <c r="F29" s="44"/>
      <c r="G29" s="43">
        <v>100</v>
      </c>
      <c r="H29" s="44"/>
      <c r="I29" s="43"/>
      <c r="J29" s="45"/>
    </row>
    <row r="30" spans="1:10">
      <c r="A30" s="41">
        <v>22</v>
      </c>
      <c r="B30" s="46">
        <v>46043</v>
      </c>
      <c r="C30" s="42" t="s">
        <v>1441</v>
      </c>
      <c r="D30" s="42" t="s">
        <v>287</v>
      </c>
      <c r="E30" s="43"/>
      <c r="F30" s="44"/>
      <c r="G30" s="43">
        <v>100.2</v>
      </c>
      <c r="H30" s="44"/>
      <c r="I30" s="43"/>
      <c r="J30" s="45"/>
    </row>
    <row r="31" spans="1:10">
      <c r="A31" s="41">
        <v>23</v>
      </c>
      <c r="B31" s="46">
        <v>46043</v>
      </c>
      <c r="C31" s="42" t="s">
        <v>1442</v>
      </c>
      <c r="D31" s="42" t="s">
        <v>1179</v>
      </c>
      <c r="E31" s="43"/>
      <c r="F31" s="44"/>
      <c r="G31" s="43">
        <v>30.71</v>
      </c>
      <c r="H31" s="44"/>
      <c r="I31" s="43"/>
      <c r="J31" s="45"/>
    </row>
    <row r="32" spans="1:10">
      <c r="A32" s="41">
        <v>24</v>
      </c>
      <c r="B32" s="46">
        <v>46043</v>
      </c>
      <c r="C32" s="42" t="s">
        <v>1443</v>
      </c>
      <c r="D32" s="42" t="s">
        <v>1179</v>
      </c>
      <c r="E32" s="43"/>
      <c r="F32" s="44"/>
      <c r="G32" s="43">
        <v>15.36</v>
      </c>
      <c r="H32" s="44"/>
      <c r="I32" s="43"/>
      <c r="J32" s="45"/>
    </row>
    <row r="33" spans="1:10">
      <c r="A33" s="41">
        <v>25</v>
      </c>
      <c r="B33" s="46">
        <v>46043</v>
      </c>
      <c r="C33" s="42" t="s">
        <v>1444</v>
      </c>
      <c r="D33" s="42" t="s">
        <v>1445</v>
      </c>
      <c r="E33" s="43"/>
      <c r="F33" s="44"/>
      <c r="G33" s="43">
        <v>100</v>
      </c>
      <c r="H33" s="44"/>
      <c r="I33" s="43"/>
      <c r="J33" s="45"/>
    </row>
    <row r="34" spans="1:10">
      <c r="A34" s="41">
        <v>26</v>
      </c>
      <c r="B34" s="46">
        <v>46043</v>
      </c>
      <c r="C34" s="42" t="s">
        <v>1446</v>
      </c>
      <c r="D34" s="42" t="s">
        <v>305</v>
      </c>
      <c r="E34" s="43"/>
      <c r="F34" s="44"/>
      <c r="G34" s="43">
        <v>100</v>
      </c>
      <c r="H34" s="44"/>
      <c r="I34" s="43"/>
      <c r="J34" s="45"/>
    </row>
    <row r="35" spans="1:10">
      <c r="A35" s="41">
        <v>27</v>
      </c>
      <c r="B35" s="46">
        <v>46043</v>
      </c>
      <c r="C35" s="42" t="s">
        <v>1447</v>
      </c>
      <c r="D35" s="42" t="s">
        <v>1448</v>
      </c>
      <c r="E35" s="43"/>
      <c r="F35" s="44"/>
      <c r="G35" s="43">
        <v>100</v>
      </c>
      <c r="H35" s="44"/>
      <c r="I35" s="43"/>
      <c r="J35" s="45"/>
    </row>
    <row r="36" spans="1:10">
      <c r="A36" s="41">
        <v>28</v>
      </c>
      <c r="B36" s="46">
        <v>46043</v>
      </c>
      <c r="C36" s="42" t="s">
        <v>1449</v>
      </c>
      <c r="D36" s="42" t="s">
        <v>884</v>
      </c>
      <c r="E36" s="43"/>
      <c r="F36" s="44"/>
      <c r="G36" s="43">
        <v>300</v>
      </c>
      <c r="H36" s="44"/>
      <c r="I36" s="43"/>
      <c r="J36" s="45"/>
    </row>
    <row r="37" spans="1:10">
      <c r="A37" s="41">
        <v>29</v>
      </c>
      <c r="B37" s="46">
        <v>46043</v>
      </c>
      <c r="C37" s="42" t="s">
        <v>1450</v>
      </c>
      <c r="D37" s="42" t="s">
        <v>378</v>
      </c>
      <c r="E37" s="43"/>
      <c r="F37" s="44"/>
      <c r="G37" s="43">
        <v>500</v>
      </c>
      <c r="H37" s="44"/>
      <c r="I37" s="43"/>
      <c r="J37" s="45"/>
    </row>
    <row r="38" spans="1:10">
      <c r="A38" s="41">
        <v>30</v>
      </c>
      <c r="B38" s="46">
        <v>46043</v>
      </c>
      <c r="C38" s="42" t="s">
        <v>1451</v>
      </c>
      <c r="D38" s="42" t="s">
        <v>1452</v>
      </c>
      <c r="E38" s="43"/>
      <c r="F38" s="44"/>
      <c r="G38" s="43">
        <v>208.23</v>
      </c>
      <c r="H38" s="44"/>
      <c r="I38" s="43"/>
      <c r="J38" s="45"/>
    </row>
    <row r="39" spans="1:10">
      <c r="A39" s="41">
        <v>31</v>
      </c>
      <c r="B39" s="46">
        <v>46043</v>
      </c>
      <c r="C39" s="42" t="s">
        <v>1453</v>
      </c>
      <c r="D39" s="42" t="s">
        <v>1065</v>
      </c>
      <c r="E39" s="43"/>
      <c r="F39" s="44"/>
      <c r="G39" s="43">
        <v>2500</v>
      </c>
      <c r="H39" s="44"/>
      <c r="I39" s="43"/>
      <c r="J39" s="45"/>
    </row>
    <row r="40" spans="1:10" s="9" customFormat="1" ht="12.45">
      <c r="A40" s="41">
        <v>32</v>
      </c>
      <c r="B40" s="46">
        <v>46043</v>
      </c>
      <c r="C40" s="42" t="s">
        <v>1454</v>
      </c>
      <c r="D40" s="42" t="s">
        <v>573</v>
      </c>
      <c r="E40" s="43"/>
      <c r="F40" s="44"/>
      <c r="G40" s="43">
        <v>129.93</v>
      </c>
      <c r="H40" s="44"/>
      <c r="I40" s="43"/>
      <c r="J40" s="45"/>
    </row>
    <row r="41" spans="1:10">
      <c r="A41" s="41">
        <v>33</v>
      </c>
      <c r="B41" s="46">
        <v>46043</v>
      </c>
      <c r="C41" s="42" t="s">
        <v>1455</v>
      </c>
      <c r="D41" s="42" t="s">
        <v>1171</v>
      </c>
      <c r="E41" s="43"/>
      <c r="F41" s="44"/>
      <c r="G41" s="43">
        <v>642.25</v>
      </c>
      <c r="H41" s="44"/>
      <c r="I41" s="43"/>
      <c r="J41" s="45"/>
    </row>
    <row r="42" spans="1:10">
      <c r="A42" s="41">
        <v>34</v>
      </c>
      <c r="B42" s="46">
        <v>46043</v>
      </c>
      <c r="C42" s="42" t="s">
        <v>1456</v>
      </c>
      <c r="D42" s="42" t="s">
        <v>1457</v>
      </c>
      <c r="E42" s="43"/>
      <c r="F42" s="44"/>
      <c r="G42" s="43"/>
      <c r="H42" s="44">
        <v>2664000</v>
      </c>
      <c r="I42" s="43"/>
      <c r="J42" s="45"/>
    </row>
    <row r="43" spans="1:10" ht="23.6">
      <c r="A43" s="41">
        <v>35</v>
      </c>
      <c r="B43" s="46">
        <v>46043</v>
      </c>
      <c r="C43" s="42" t="s">
        <v>1458</v>
      </c>
      <c r="D43" s="53" t="s">
        <v>2053</v>
      </c>
      <c r="E43" s="43"/>
      <c r="F43" s="44"/>
      <c r="G43" s="43"/>
      <c r="H43" s="44">
        <v>6072000</v>
      </c>
      <c r="I43" s="43"/>
      <c r="J43" s="45"/>
    </row>
    <row r="44" spans="1:10" ht="23.6">
      <c r="A44" s="41">
        <v>36</v>
      </c>
      <c r="B44" s="46">
        <v>46043</v>
      </c>
      <c r="C44" s="42" t="s">
        <v>1459</v>
      </c>
      <c r="D44" s="53" t="s">
        <v>2054</v>
      </c>
      <c r="E44" s="43"/>
      <c r="F44" s="44"/>
      <c r="G44" s="43"/>
      <c r="H44" s="44">
        <v>3027000</v>
      </c>
      <c r="I44" s="43"/>
      <c r="J44" s="45"/>
    </row>
    <row r="45" spans="1:10">
      <c r="A45" s="41">
        <v>37</v>
      </c>
      <c r="B45" s="46">
        <v>46043</v>
      </c>
      <c r="C45" s="42" t="s">
        <v>1460</v>
      </c>
      <c r="D45" s="42" t="s">
        <v>1350</v>
      </c>
      <c r="E45" s="43"/>
      <c r="F45" s="44"/>
      <c r="G45" s="43"/>
      <c r="H45" s="44">
        <v>38798000</v>
      </c>
      <c r="I45" s="43"/>
      <c r="J45" s="45"/>
    </row>
    <row r="46" spans="1:10" s="9" customFormat="1" thickBot="1">
      <c r="A46" s="47"/>
      <c r="B46" s="48"/>
      <c r="C46" s="48"/>
      <c r="D46" s="48" t="s">
        <v>4</v>
      </c>
      <c r="E46" s="50"/>
      <c r="F46" s="49"/>
      <c r="G46" s="50">
        <v>21866.65</v>
      </c>
      <c r="H46" s="49">
        <v>50561000</v>
      </c>
      <c r="I46" s="50">
        <v>67826.67</v>
      </c>
      <c r="J46" s="51">
        <f>J7+F8-H46</f>
        <v>249666102</v>
      </c>
    </row>
    <row r="48" spans="1:10">
      <c r="H48" s="10" t="s">
        <v>14</v>
      </c>
    </row>
    <row r="49" spans="8:8">
      <c r="H49" s="11" t="s">
        <v>15</v>
      </c>
    </row>
    <row r="105" spans="52:52">
      <c r="AZ105" s="1" t="s">
        <v>5</v>
      </c>
    </row>
  </sheetData>
  <mergeCells count="9">
    <mergeCell ref="A1:E2"/>
    <mergeCell ref="A3:J4"/>
    <mergeCell ref="A5:A6"/>
    <mergeCell ref="B5:B6"/>
    <mergeCell ref="C5:C6"/>
    <mergeCell ref="D5:D6"/>
    <mergeCell ref="E5:F5"/>
    <mergeCell ref="G5:H5"/>
    <mergeCell ref="I5:J5"/>
  </mergeCells>
  <pageMargins left="0.5" right="0" top="0.5" bottom="0.5" header="0" footer="0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DB982-A261-4A5D-9A0D-25EA4AAFA755}">
  <sheetPr>
    <tabColor rgb="FFFFFF00"/>
  </sheetPr>
  <dimension ref="A1:AZ100"/>
  <sheetViews>
    <sheetView topLeftCell="A28" zoomScale="115" zoomScaleNormal="115" workbookViewId="0">
      <selection activeCell="J42" sqref="J42"/>
    </sheetView>
  </sheetViews>
  <sheetFormatPr defaultColWidth="9.15234375" defaultRowHeight="12.9"/>
  <cols>
    <col min="1" max="1" width="4.23046875" style="1" bestFit="1" customWidth="1"/>
    <col min="2" max="2" width="6.84375" style="1" bestFit="1" customWidth="1"/>
    <col min="3" max="3" width="10.23046875" style="6" bestFit="1" customWidth="1"/>
    <col min="4" max="4" width="20.84375" style="1" customWidth="1"/>
    <col min="5" max="5" width="8.4609375" style="7" bestFit="1" customWidth="1"/>
    <col min="6" max="6" width="9.3046875" style="1" bestFit="1" customWidth="1"/>
    <col min="7" max="9" width="8.84375" style="1" bestFit="1" customWidth="1"/>
    <col min="10" max="10" width="10.61328125" style="1" bestFit="1" customWidth="1"/>
    <col min="11" max="16384" width="9.15234375" style="1"/>
  </cols>
  <sheetData>
    <row r="1" spans="1:52" ht="28.3" customHeight="1">
      <c r="A1" s="79" t="s">
        <v>17</v>
      </c>
      <c r="B1" s="80"/>
      <c r="C1" s="80"/>
      <c r="D1" s="80"/>
      <c r="E1" s="80"/>
    </row>
    <row r="2" spans="1:52" ht="28.3" customHeight="1">
      <c r="A2" s="80"/>
      <c r="B2" s="80"/>
      <c r="C2" s="80"/>
      <c r="D2" s="80"/>
      <c r="E2" s="80"/>
    </row>
    <row r="3" spans="1:52">
      <c r="A3" s="81" t="s">
        <v>11</v>
      </c>
      <c r="B3" s="81"/>
      <c r="C3" s="81"/>
      <c r="D3" s="81"/>
      <c r="E3" s="81"/>
      <c r="F3" s="81"/>
      <c r="G3" s="81"/>
      <c r="H3" s="81"/>
      <c r="I3" s="81"/>
      <c r="J3" s="81"/>
      <c r="AS3" s="2">
        <v>43921</v>
      </c>
      <c r="AZ3" s="1">
        <f>(AQ3-4)*20000</f>
        <v>-80000</v>
      </c>
    </row>
    <row r="4" spans="1:52" ht="13.3" thickBot="1">
      <c r="A4" s="81"/>
      <c r="B4" s="81"/>
      <c r="C4" s="81"/>
      <c r="D4" s="81"/>
      <c r="E4" s="81"/>
      <c r="F4" s="81"/>
      <c r="G4" s="81"/>
      <c r="H4" s="81"/>
      <c r="I4" s="81"/>
      <c r="J4" s="81"/>
    </row>
    <row r="5" spans="1:52">
      <c r="A5" s="82" t="s">
        <v>0</v>
      </c>
      <c r="B5" s="84" t="s">
        <v>9</v>
      </c>
      <c r="C5" s="86" t="s">
        <v>1</v>
      </c>
      <c r="D5" s="84" t="s">
        <v>10</v>
      </c>
      <c r="E5" s="88" t="s">
        <v>13</v>
      </c>
      <c r="F5" s="88"/>
      <c r="G5" s="88" t="s">
        <v>8</v>
      </c>
      <c r="H5" s="88"/>
      <c r="I5" s="88" t="s">
        <v>7</v>
      </c>
      <c r="J5" s="89"/>
    </row>
    <row r="6" spans="1:52">
      <c r="A6" s="83"/>
      <c r="B6" s="85"/>
      <c r="C6" s="87"/>
      <c r="D6" s="85"/>
      <c r="E6" s="38" t="s">
        <v>2</v>
      </c>
      <c r="F6" s="39" t="s">
        <v>6</v>
      </c>
      <c r="G6" s="39" t="s">
        <v>2</v>
      </c>
      <c r="H6" s="39" t="s">
        <v>6</v>
      </c>
      <c r="I6" s="39" t="s">
        <v>2</v>
      </c>
      <c r="J6" s="40" t="s">
        <v>6</v>
      </c>
    </row>
    <row r="7" spans="1:52">
      <c r="A7" s="41"/>
      <c r="B7" s="42"/>
      <c r="C7" s="42"/>
      <c r="D7" s="42" t="s">
        <v>12</v>
      </c>
      <c r="E7" s="43"/>
      <c r="F7" s="44"/>
      <c r="G7" s="43"/>
      <c r="H7" s="44"/>
      <c r="I7" s="43">
        <v>67826.67</v>
      </c>
      <c r="J7" s="45">
        <v>249666102</v>
      </c>
    </row>
    <row r="8" spans="1:52">
      <c r="A8" s="41"/>
      <c r="B8" s="42"/>
      <c r="C8" s="42"/>
      <c r="D8" s="42" t="s">
        <v>16</v>
      </c>
      <c r="E8" s="43">
        <v>21866</v>
      </c>
      <c r="F8" s="44">
        <f>50561000+15730</f>
        <v>50576730</v>
      </c>
      <c r="G8" s="43"/>
      <c r="H8" s="44"/>
      <c r="I8" s="43"/>
      <c r="J8" s="45"/>
    </row>
    <row r="9" spans="1:52">
      <c r="A9" s="41">
        <v>1</v>
      </c>
      <c r="B9" s="46">
        <v>46044</v>
      </c>
      <c r="C9" s="42" t="s">
        <v>1461</v>
      </c>
      <c r="D9" s="42" t="s">
        <v>1462</v>
      </c>
      <c r="E9" s="43"/>
      <c r="F9" s="44"/>
      <c r="G9" s="43">
        <v>200</v>
      </c>
      <c r="H9" s="44"/>
      <c r="I9" s="43"/>
      <c r="J9" s="45"/>
    </row>
    <row r="10" spans="1:52">
      <c r="A10" s="41">
        <v>2</v>
      </c>
      <c r="B10" s="46">
        <v>46044</v>
      </c>
      <c r="C10" s="42" t="s">
        <v>1463</v>
      </c>
      <c r="D10" s="42" t="s">
        <v>1464</v>
      </c>
      <c r="E10" s="43"/>
      <c r="F10" s="44"/>
      <c r="G10" s="43">
        <v>300</v>
      </c>
      <c r="H10" s="44"/>
      <c r="I10" s="43"/>
      <c r="J10" s="45"/>
      <c r="AX10" s="5" t="s">
        <v>3</v>
      </c>
    </row>
    <row r="11" spans="1:52">
      <c r="A11" s="41">
        <v>3</v>
      </c>
      <c r="B11" s="46">
        <v>46044</v>
      </c>
      <c r="C11" s="42" t="s">
        <v>1465</v>
      </c>
      <c r="D11" s="42" t="s">
        <v>1051</v>
      </c>
      <c r="E11" s="43"/>
      <c r="F11" s="44"/>
      <c r="G11" s="43">
        <v>160.56</v>
      </c>
      <c r="H11" s="44"/>
      <c r="I11" s="43"/>
      <c r="J11" s="45"/>
    </row>
    <row r="12" spans="1:52">
      <c r="A12" s="41">
        <v>4</v>
      </c>
      <c r="B12" s="46">
        <v>46044</v>
      </c>
      <c r="C12" s="42" t="s">
        <v>1466</v>
      </c>
      <c r="D12" s="42" t="s">
        <v>689</v>
      </c>
      <c r="E12" s="43"/>
      <c r="F12" s="44"/>
      <c r="G12" s="43">
        <v>260.33</v>
      </c>
      <c r="H12" s="44"/>
      <c r="I12" s="43"/>
      <c r="J12" s="45"/>
    </row>
    <row r="13" spans="1:52">
      <c r="A13" s="41">
        <v>5</v>
      </c>
      <c r="B13" s="46">
        <v>46044</v>
      </c>
      <c r="C13" s="42" t="s">
        <v>1467</v>
      </c>
      <c r="D13" s="42" t="s">
        <v>1468</v>
      </c>
      <c r="E13" s="43"/>
      <c r="F13" s="44"/>
      <c r="G13" s="43">
        <v>2500</v>
      </c>
      <c r="H13" s="44"/>
      <c r="I13" s="43"/>
      <c r="J13" s="45"/>
    </row>
    <row r="14" spans="1:52">
      <c r="A14" s="41">
        <v>6</v>
      </c>
      <c r="B14" s="46">
        <v>46044</v>
      </c>
      <c r="C14" s="42" t="s">
        <v>1469</v>
      </c>
      <c r="D14" s="42" t="s">
        <v>1470</v>
      </c>
      <c r="E14" s="43"/>
      <c r="F14" s="44"/>
      <c r="G14" s="43">
        <v>500</v>
      </c>
      <c r="H14" s="44"/>
      <c r="I14" s="43"/>
      <c r="J14" s="45"/>
    </row>
    <row r="15" spans="1:52">
      <c r="A15" s="41">
        <v>7</v>
      </c>
      <c r="B15" s="46">
        <v>46044</v>
      </c>
      <c r="C15" s="42" t="s">
        <v>1471</v>
      </c>
      <c r="D15" s="42" t="s">
        <v>1472</v>
      </c>
      <c r="E15" s="43"/>
      <c r="F15" s="44"/>
      <c r="G15" s="43">
        <v>493.04</v>
      </c>
      <c r="H15" s="44"/>
      <c r="I15" s="43"/>
      <c r="J15" s="45"/>
    </row>
    <row r="16" spans="1:52">
      <c r="A16" s="41">
        <v>8</v>
      </c>
      <c r="B16" s="46">
        <v>46044</v>
      </c>
      <c r="C16" s="42" t="s">
        <v>1473</v>
      </c>
      <c r="D16" s="42" t="s">
        <v>1474</v>
      </c>
      <c r="E16" s="43"/>
      <c r="F16" s="44"/>
      <c r="G16" s="43">
        <v>111.95</v>
      </c>
      <c r="H16" s="44"/>
      <c r="I16" s="43"/>
      <c r="J16" s="45"/>
    </row>
    <row r="17" spans="1:10">
      <c r="A17" s="41">
        <v>9</v>
      </c>
      <c r="B17" s="46">
        <v>46044</v>
      </c>
      <c r="C17" s="42" t="s">
        <v>1475</v>
      </c>
      <c r="D17" s="42" t="s">
        <v>1476</v>
      </c>
      <c r="E17" s="43"/>
      <c r="F17" s="44"/>
      <c r="G17" s="43">
        <v>1014.45</v>
      </c>
      <c r="H17" s="44"/>
      <c r="I17" s="43"/>
      <c r="J17" s="45"/>
    </row>
    <row r="18" spans="1:10">
      <c r="A18" s="41">
        <v>10</v>
      </c>
      <c r="B18" s="46">
        <v>46044</v>
      </c>
      <c r="C18" s="42" t="s">
        <v>1477</v>
      </c>
      <c r="D18" s="42" t="s">
        <v>1478</v>
      </c>
      <c r="E18" s="43"/>
      <c r="F18" s="44"/>
      <c r="G18" s="43">
        <v>4039.58</v>
      </c>
      <c r="H18" s="44"/>
      <c r="I18" s="43"/>
      <c r="J18" s="45"/>
    </row>
    <row r="19" spans="1:10">
      <c r="A19" s="41">
        <v>11</v>
      </c>
      <c r="B19" s="46">
        <v>46044</v>
      </c>
      <c r="C19" s="42" t="s">
        <v>1479</v>
      </c>
      <c r="D19" s="42" t="s">
        <v>1480</v>
      </c>
      <c r="E19" s="43"/>
      <c r="F19" s="44"/>
      <c r="G19" s="43">
        <v>89.36</v>
      </c>
      <c r="H19" s="44"/>
      <c r="I19" s="43"/>
      <c r="J19" s="45"/>
    </row>
    <row r="20" spans="1:10">
      <c r="A20" s="41">
        <v>12</v>
      </c>
      <c r="B20" s="46">
        <v>46044</v>
      </c>
      <c r="C20" s="42" t="s">
        <v>1481</v>
      </c>
      <c r="D20" s="42" t="s">
        <v>1482</v>
      </c>
      <c r="E20" s="43"/>
      <c r="F20" s="44"/>
      <c r="G20" s="43">
        <v>750.55</v>
      </c>
      <c r="H20" s="44"/>
      <c r="I20" s="43"/>
      <c r="J20" s="45"/>
    </row>
    <row r="21" spans="1:10">
      <c r="A21" s="41">
        <v>13</v>
      </c>
      <c r="B21" s="46">
        <v>46044</v>
      </c>
      <c r="C21" s="42" t="s">
        <v>1483</v>
      </c>
      <c r="D21" s="42" t="s">
        <v>694</v>
      </c>
      <c r="E21" s="43"/>
      <c r="F21" s="44"/>
      <c r="G21" s="43">
        <v>216.54</v>
      </c>
      <c r="H21" s="44"/>
      <c r="I21" s="43"/>
      <c r="J21" s="45"/>
    </row>
    <row r="22" spans="1:10">
      <c r="A22" s="41">
        <v>14</v>
      </c>
      <c r="B22" s="46">
        <v>46044</v>
      </c>
      <c r="C22" s="42" t="s">
        <v>1484</v>
      </c>
      <c r="D22" s="42" t="s">
        <v>1485</v>
      </c>
      <c r="E22" s="43"/>
      <c r="F22" s="44"/>
      <c r="G22" s="43">
        <v>350</v>
      </c>
      <c r="H22" s="44"/>
      <c r="I22" s="43"/>
      <c r="J22" s="45"/>
    </row>
    <row r="23" spans="1:10">
      <c r="A23" s="41">
        <v>15</v>
      </c>
      <c r="B23" s="46">
        <v>46044</v>
      </c>
      <c r="C23" s="42" t="s">
        <v>1486</v>
      </c>
      <c r="D23" s="42" t="s">
        <v>1487</v>
      </c>
      <c r="E23" s="43"/>
      <c r="F23" s="44"/>
      <c r="G23" s="43">
        <v>1000</v>
      </c>
      <c r="H23" s="44"/>
      <c r="I23" s="43"/>
      <c r="J23" s="45"/>
    </row>
    <row r="24" spans="1:10">
      <c r="A24" s="41">
        <v>16</v>
      </c>
      <c r="B24" s="46">
        <v>46044</v>
      </c>
      <c r="C24" s="42" t="s">
        <v>1488</v>
      </c>
      <c r="D24" s="42" t="s">
        <v>1489</v>
      </c>
      <c r="E24" s="43"/>
      <c r="F24" s="44"/>
      <c r="G24" s="43">
        <v>500</v>
      </c>
      <c r="H24" s="44"/>
      <c r="I24" s="43"/>
      <c r="J24" s="45"/>
    </row>
    <row r="25" spans="1:10">
      <c r="A25" s="41">
        <v>17</v>
      </c>
      <c r="B25" s="46">
        <v>46044</v>
      </c>
      <c r="C25" s="42" t="s">
        <v>1490</v>
      </c>
      <c r="D25" s="42" t="s">
        <v>465</v>
      </c>
      <c r="E25" s="43"/>
      <c r="F25" s="44"/>
      <c r="G25" s="43">
        <v>800</v>
      </c>
      <c r="H25" s="44"/>
      <c r="I25" s="43"/>
      <c r="J25" s="45"/>
    </row>
    <row r="26" spans="1:10">
      <c r="A26" s="41">
        <v>18</v>
      </c>
      <c r="B26" s="46">
        <v>46044</v>
      </c>
      <c r="C26" s="42" t="s">
        <v>1491</v>
      </c>
      <c r="D26" s="42" t="s">
        <v>1492</v>
      </c>
      <c r="E26" s="43"/>
      <c r="F26" s="44"/>
      <c r="G26" s="43">
        <v>1585.27</v>
      </c>
      <c r="H26" s="44"/>
      <c r="I26" s="43"/>
      <c r="J26" s="45"/>
    </row>
    <row r="27" spans="1:10">
      <c r="A27" s="41">
        <v>19</v>
      </c>
      <c r="B27" s="46">
        <v>46044</v>
      </c>
      <c r="C27" s="42" t="s">
        <v>1493</v>
      </c>
      <c r="D27" s="42" t="s">
        <v>366</v>
      </c>
      <c r="E27" s="43"/>
      <c r="F27" s="44"/>
      <c r="G27" s="43">
        <v>700</v>
      </c>
      <c r="H27" s="44"/>
      <c r="I27" s="43"/>
      <c r="J27" s="45"/>
    </row>
    <row r="28" spans="1:10">
      <c r="A28" s="41">
        <v>20</v>
      </c>
      <c r="B28" s="46">
        <v>46044</v>
      </c>
      <c r="C28" s="42" t="s">
        <v>1494</v>
      </c>
      <c r="D28" s="42" t="s">
        <v>1495</v>
      </c>
      <c r="E28" s="43"/>
      <c r="F28" s="44"/>
      <c r="G28" s="43">
        <v>383.64</v>
      </c>
      <c r="H28" s="44"/>
      <c r="I28" s="43"/>
      <c r="J28" s="45"/>
    </row>
    <row r="29" spans="1:10" s="9" customFormat="1" ht="12.45">
      <c r="A29" s="41">
        <v>21</v>
      </c>
      <c r="B29" s="46">
        <v>46044</v>
      </c>
      <c r="C29" s="42" t="s">
        <v>1496</v>
      </c>
      <c r="D29" s="42" t="s">
        <v>400</v>
      </c>
      <c r="E29" s="43"/>
      <c r="F29" s="44"/>
      <c r="G29" s="43">
        <v>600</v>
      </c>
      <c r="H29" s="44"/>
      <c r="I29" s="43"/>
      <c r="J29" s="45"/>
    </row>
    <row r="30" spans="1:10">
      <c r="A30" s="41">
        <v>22</v>
      </c>
      <c r="B30" s="46">
        <v>46044</v>
      </c>
      <c r="C30" s="42" t="s">
        <v>1497</v>
      </c>
      <c r="D30" s="42" t="s">
        <v>537</v>
      </c>
      <c r="E30" s="43"/>
      <c r="F30" s="44"/>
      <c r="G30" s="43">
        <v>400</v>
      </c>
      <c r="H30" s="44"/>
      <c r="I30" s="43"/>
      <c r="J30" s="45"/>
    </row>
    <row r="31" spans="1:10">
      <c r="A31" s="41">
        <v>23</v>
      </c>
      <c r="B31" s="46">
        <v>46044</v>
      </c>
      <c r="C31" s="42" t="s">
        <v>1498</v>
      </c>
      <c r="D31" s="42" t="s">
        <v>1499</v>
      </c>
      <c r="E31" s="43"/>
      <c r="F31" s="44"/>
      <c r="G31" s="43">
        <v>15</v>
      </c>
      <c r="H31" s="44"/>
      <c r="I31" s="43"/>
      <c r="J31" s="45"/>
    </row>
    <row r="32" spans="1:10">
      <c r="A32" s="41">
        <v>24</v>
      </c>
      <c r="B32" s="46">
        <v>46044</v>
      </c>
      <c r="C32" s="42" t="s">
        <v>1500</v>
      </c>
      <c r="D32" s="42" t="s">
        <v>1501</v>
      </c>
      <c r="E32" s="43"/>
      <c r="F32" s="44"/>
      <c r="G32" s="43">
        <v>2000</v>
      </c>
      <c r="H32" s="44"/>
      <c r="I32" s="43"/>
      <c r="J32" s="45"/>
    </row>
    <row r="33" spans="1:10">
      <c r="A33" s="41">
        <v>25</v>
      </c>
      <c r="B33" s="46">
        <v>46044</v>
      </c>
      <c r="C33" s="42" t="s">
        <v>1502</v>
      </c>
      <c r="D33" s="42" t="s">
        <v>1503</v>
      </c>
      <c r="E33" s="43"/>
      <c r="F33" s="44"/>
      <c r="G33" s="43">
        <v>284.45999999999998</v>
      </c>
      <c r="H33" s="44"/>
      <c r="I33" s="43"/>
      <c r="J33" s="45"/>
    </row>
    <row r="34" spans="1:10">
      <c r="A34" s="41">
        <v>26</v>
      </c>
      <c r="B34" s="46">
        <v>46044</v>
      </c>
      <c r="C34" s="42" t="s">
        <v>1504</v>
      </c>
      <c r="D34" s="42" t="s">
        <v>1505</v>
      </c>
      <c r="E34" s="43"/>
      <c r="F34" s="44"/>
      <c r="G34" s="43">
        <v>400</v>
      </c>
      <c r="H34" s="44"/>
      <c r="I34" s="43"/>
      <c r="J34" s="45"/>
    </row>
    <row r="35" spans="1:10">
      <c r="A35" s="41">
        <v>27</v>
      </c>
      <c r="B35" s="46">
        <v>46044</v>
      </c>
      <c r="C35" s="42" t="s">
        <v>1506</v>
      </c>
      <c r="D35" s="42" t="s">
        <v>1507</v>
      </c>
      <c r="E35" s="43"/>
      <c r="F35" s="44"/>
      <c r="G35" s="43">
        <v>119</v>
      </c>
      <c r="H35" s="44"/>
      <c r="I35" s="43"/>
      <c r="J35" s="45"/>
    </row>
    <row r="36" spans="1:10" ht="23.6">
      <c r="A36" s="41">
        <v>28</v>
      </c>
      <c r="B36" s="46">
        <v>46044</v>
      </c>
      <c r="C36" s="42" t="s">
        <v>1508</v>
      </c>
      <c r="D36" s="53" t="s">
        <v>2055</v>
      </c>
      <c r="E36" s="43"/>
      <c r="F36" s="44"/>
      <c r="G36" s="43">
        <v>729.34</v>
      </c>
      <c r="H36" s="44"/>
      <c r="I36" s="43"/>
      <c r="J36" s="45"/>
    </row>
    <row r="37" spans="1:10" ht="23.6">
      <c r="A37" s="41">
        <v>29</v>
      </c>
      <c r="B37" s="46">
        <v>46044</v>
      </c>
      <c r="C37" s="42" t="s">
        <v>1509</v>
      </c>
      <c r="D37" s="53" t="s">
        <v>2056</v>
      </c>
      <c r="E37" s="43"/>
      <c r="F37" s="44"/>
      <c r="G37" s="43">
        <v>1575.07</v>
      </c>
      <c r="H37" s="44"/>
      <c r="I37" s="43"/>
      <c r="J37" s="45"/>
    </row>
    <row r="38" spans="1:10">
      <c r="A38" s="41">
        <v>30</v>
      </c>
      <c r="B38" s="46">
        <v>46044</v>
      </c>
      <c r="C38" s="42" t="s">
        <v>1511</v>
      </c>
      <c r="D38" s="42" t="s">
        <v>1512</v>
      </c>
      <c r="E38" s="43"/>
      <c r="F38" s="44"/>
      <c r="G38" s="43">
        <v>91.88</v>
      </c>
      <c r="H38" s="44"/>
      <c r="I38" s="43"/>
      <c r="J38" s="45"/>
    </row>
    <row r="39" spans="1:10">
      <c r="A39" s="41">
        <v>31</v>
      </c>
      <c r="B39" s="46">
        <v>46044</v>
      </c>
      <c r="C39" s="42" t="s">
        <v>1513</v>
      </c>
      <c r="D39" s="42" t="s">
        <v>1514</v>
      </c>
      <c r="E39" s="43"/>
      <c r="F39" s="44"/>
      <c r="G39" s="43"/>
      <c r="H39" s="44">
        <v>4543000</v>
      </c>
      <c r="I39" s="43"/>
      <c r="J39" s="45"/>
    </row>
    <row r="40" spans="1:10" s="9" customFormat="1" ht="12.45">
      <c r="A40" s="41">
        <v>32</v>
      </c>
      <c r="B40" s="46">
        <v>46044</v>
      </c>
      <c r="C40" s="42" t="s">
        <v>1515</v>
      </c>
      <c r="D40" s="42" t="s">
        <v>1276</v>
      </c>
      <c r="E40" s="43"/>
      <c r="F40" s="44"/>
      <c r="G40" s="43"/>
      <c r="H40" s="44">
        <v>1728000</v>
      </c>
      <c r="I40" s="43"/>
      <c r="J40" s="45"/>
    </row>
    <row r="41" spans="1:10" s="9" customFormat="1" thickBot="1">
      <c r="A41" s="47"/>
      <c r="B41" s="48"/>
      <c r="C41" s="48"/>
      <c r="D41" s="48" t="s">
        <v>4</v>
      </c>
      <c r="E41" s="50"/>
      <c r="F41" s="49"/>
      <c r="G41" s="50">
        <v>22170.02</v>
      </c>
      <c r="H41" s="49">
        <v>6271000</v>
      </c>
      <c r="I41" s="50">
        <v>67522.649999999994</v>
      </c>
      <c r="J41" s="51">
        <f>J7+F8-H41</f>
        <v>293971832</v>
      </c>
    </row>
    <row r="43" spans="1:10">
      <c r="H43" s="10" t="s">
        <v>14</v>
      </c>
    </row>
    <row r="44" spans="1:10">
      <c r="H44" s="11" t="s">
        <v>15</v>
      </c>
    </row>
    <row r="100" spans="52:52">
      <c r="AZ100" s="1" t="s">
        <v>5</v>
      </c>
    </row>
  </sheetData>
  <mergeCells count="9">
    <mergeCell ref="A1:E2"/>
    <mergeCell ref="A3:J4"/>
    <mergeCell ref="A5:A6"/>
    <mergeCell ref="B5:B6"/>
    <mergeCell ref="C5:C6"/>
    <mergeCell ref="D5:D6"/>
    <mergeCell ref="E5:F5"/>
    <mergeCell ref="G5:H5"/>
    <mergeCell ref="I5:J5"/>
  </mergeCells>
  <pageMargins left="0.5" right="0" top="0.5" bottom="0.5" header="0" footer="0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17F71-15D3-4C84-A85A-EC5464355AD5}">
  <sheetPr>
    <tabColor rgb="FFFFFF00"/>
  </sheetPr>
  <dimension ref="A1:AZ100"/>
  <sheetViews>
    <sheetView topLeftCell="A23" zoomScaleNormal="100" workbookViewId="0">
      <selection activeCell="J46" sqref="J46"/>
    </sheetView>
  </sheetViews>
  <sheetFormatPr defaultColWidth="9.15234375" defaultRowHeight="12.9"/>
  <cols>
    <col min="1" max="1" width="4.23046875" style="1" bestFit="1" customWidth="1"/>
    <col min="2" max="2" width="6.84375" style="1" bestFit="1" customWidth="1"/>
    <col min="3" max="3" width="10.23046875" style="6" bestFit="1" customWidth="1"/>
    <col min="4" max="4" width="19.765625" style="1" customWidth="1"/>
    <col min="5" max="5" width="8.4609375" style="7" bestFit="1" customWidth="1"/>
    <col min="6" max="6" width="8.4609375" style="1" bestFit="1" customWidth="1"/>
    <col min="7" max="7" width="8.84375" style="1" bestFit="1" customWidth="1"/>
    <col min="8" max="8" width="10.61328125" style="1" bestFit="1" customWidth="1"/>
    <col min="9" max="9" width="8.84375" style="1" bestFit="1" customWidth="1"/>
    <col min="10" max="10" width="11.15234375" style="1" customWidth="1"/>
    <col min="11" max="16384" width="9.15234375" style="1"/>
  </cols>
  <sheetData>
    <row r="1" spans="1:52" ht="28.3" customHeight="1">
      <c r="A1" s="79" t="s">
        <v>17</v>
      </c>
      <c r="B1" s="80"/>
      <c r="C1" s="80"/>
      <c r="D1" s="80"/>
      <c r="E1" s="80"/>
    </row>
    <row r="2" spans="1:52" ht="28.3" customHeight="1">
      <c r="A2" s="80"/>
      <c r="B2" s="80"/>
      <c r="C2" s="80"/>
      <c r="D2" s="80"/>
      <c r="E2" s="80"/>
    </row>
    <row r="3" spans="1:52">
      <c r="A3" s="81" t="s">
        <v>11</v>
      </c>
      <c r="B3" s="81"/>
      <c r="C3" s="81"/>
      <c r="D3" s="81"/>
      <c r="E3" s="81"/>
      <c r="F3" s="81"/>
      <c r="G3" s="81"/>
      <c r="H3" s="81"/>
      <c r="I3" s="81"/>
      <c r="J3" s="81"/>
      <c r="AS3" s="2">
        <v>43921</v>
      </c>
      <c r="AZ3" s="1">
        <f>(AQ3-4)*20000</f>
        <v>-80000</v>
      </c>
    </row>
    <row r="4" spans="1:52" ht="13.3" thickBot="1">
      <c r="A4" s="81"/>
      <c r="B4" s="81"/>
      <c r="C4" s="81"/>
      <c r="D4" s="81"/>
      <c r="E4" s="81"/>
      <c r="F4" s="81"/>
      <c r="G4" s="81"/>
      <c r="H4" s="81"/>
      <c r="I4" s="81"/>
      <c r="J4" s="81"/>
    </row>
    <row r="5" spans="1:52">
      <c r="A5" s="82" t="s">
        <v>0</v>
      </c>
      <c r="B5" s="84" t="s">
        <v>9</v>
      </c>
      <c r="C5" s="86" t="s">
        <v>1</v>
      </c>
      <c r="D5" s="84" t="s">
        <v>10</v>
      </c>
      <c r="E5" s="88" t="s">
        <v>13</v>
      </c>
      <c r="F5" s="88"/>
      <c r="G5" s="88" t="s">
        <v>8</v>
      </c>
      <c r="H5" s="88"/>
      <c r="I5" s="88" t="s">
        <v>7</v>
      </c>
      <c r="J5" s="89"/>
    </row>
    <row r="6" spans="1:52">
      <c r="A6" s="83"/>
      <c r="B6" s="85"/>
      <c r="C6" s="87"/>
      <c r="D6" s="85"/>
      <c r="E6" s="38" t="s">
        <v>2</v>
      </c>
      <c r="F6" s="39" t="s">
        <v>6</v>
      </c>
      <c r="G6" s="39" t="s">
        <v>2</v>
      </c>
      <c r="H6" s="39" t="s">
        <v>6</v>
      </c>
      <c r="I6" s="39" t="s">
        <v>2</v>
      </c>
      <c r="J6" s="40" t="s">
        <v>6</v>
      </c>
    </row>
    <row r="7" spans="1:52">
      <c r="A7" s="41"/>
      <c r="B7" s="42"/>
      <c r="C7" s="42"/>
      <c r="D7" s="62" t="s">
        <v>12</v>
      </c>
      <c r="E7" s="43"/>
      <c r="F7" s="44"/>
      <c r="G7" s="43"/>
      <c r="H7" s="44"/>
      <c r="I7" s="43">
        <v>67522.649999999994</v>
      </c>
      <c r="J7" s="45">
        <v>293971832</v>
      </c>
    </row>
    <row r="8" spans="1:52">
      <c r="A8" s="41"/>
      <c r="B8" s="42"/>
      <c r="C8" s="42"/>
      <c r="D8" s="62" t="s">
        <v>16</v>
      </c>
      <c r="E8" s="43">
        <v>22170</v>
      </c>
      <c r="F8" s="44">
        <f>6271000+484</f>
        <v>6271484</v>
      </c>
      <c r="G8" s="43"/>
      <c r="H8" s="44"/>
      <c r="I8" s="43"/>
      <c r="J8" s="45"/>
    </row>
    <row r="9" spans="1:52">
      <c r="A9" s="41">
        <v>1</v>
      </c>
      <c r="B9" s="46">
        <v>46045</v>
      </c>
      <c r="C9" s="42" t="s">
        <v>1516</v>
      </c>
      <c r="D9" s="62" t="s">
        <v>1517</v>
      </c>
      <c r="E9" s="43"/>
      <c r="F9" s="44"/>
      <c r="G9" s="43">
        <v>400</v>
      </c>
      <c r="H9" s="44"/>
      <c r="I9" s="43"/>
      <c r="J9" s="45"/>
    </row>
    <row r="10" spans="1:52">
      <c r="A10" s="41">
        <v>2</v>
      </c>
      <c r="B10" s="46">
        <v>46045</v>
      </c>
      <c r="C10" s="42" t="s">
        <v>1518</v>
      </c>
      <c r="D10" s="62" t="s">
        <v>1519</v>
      </c>
      <c r="E10" s="43"/>
      <c r="F10" s="44"/>
      <c r="G10" s="43">
        <v>50</v>
      </c>
      <c r="H10" s="44"/>
      <c r="I10" s="43"/>
      <c r="J10" s="45"/>
      <c r="AX10" s="5" t="s">
        <v>3</v>
      </c>
    </row>
    <row r="11" spans="1:52">
      <c r="A11" s="41">
        <v>3</v>
      </c>
      <c r="B11" s="46">
        <v>46045</v>
      </c>
      <c r="C11" s="42" t="s">
        <v>1520</v>
      </c>
      <c r="D11" s="62" t="s">
        <v>587</v>
      </c>
      <c r="E11" s="43"/>
      <c r="F11" s="44"/>
      <c r="G11" s="43">
        <v>500</v>
      </c>
      <c r="H11" s="44"/>
      <c r="I11" s="43"/>
      <c r="J11" s="45"/>
    </row>
    <row r="12" spans="1:52">
      <c r="A12" s="41">
        <v>4</v>
      </c>
      <c r="B12" s="46">
        <v>46045</v>
      </c>
      <c r="C12" s="42" t="s">
        <v>1521</v>
      </c>
      <c r="D12" s="62" t="s">
        <v>36</v>
      </c>
      <c r="E12" s="43"/>
      <c r="F12" s="44"/>
      <c r="G12" s="43">
        <v>637.77</v>
      </c>
      <c r="H12" s="44"/>
      <c r="I12" s="43"/>
      <c r="J12" s="45"/>
    </row>
    <row r="13" spans="1:52">
      <c r="A13" s="41">
        <v>5</v>
      </c>
      <c r="B13" s="46">
        <v>46045</v>
      </c>
      <c r="C13" s="42" t="s">
        <v>1522</v>
      </c>
      <c r="D13" s="62" t="s">
        <v>1523</v>
      </c>
      <c r="E13" s="43"/>
      <c r="F13" s="44"/>
      <c r="G13" s="43">
        <v>3150</v>
      </c>
      <c r="H13" s="44"/>
      <c r="I13" s="43"/>
      <c r="J13" s="45"/>
    </row>
    <row r="14" spans="1:52">
      <c r="A14" s="41">
        <v>6</v>
      </c>
      <c r="B14" s="46">
        <v>46045</v>
      </c>
      <c r="C14" s="42" t="s">
        <v>1524</v>
      </c>
      <c r="D14" s="62" t="s">
        <v>141</v>
      </c>
      <c r="E14" s="43"/>
      <c r="F14" s="44"/>
      <c r="G14" s="43">
        <v>86.3</v>
      </c>
      <c r="H14" s="44"/>
      <c r="I14" s="43"/>
      <c r="J14" s="45"/>
    </row>
    <row r="15" spans="1:52">
      <c r="A15" s="41">
        <v>7</v>
      </c>
      <c r="B15" s="46">
        <v>46045</v>
      </c>
      <c r="C15" s="42" t="s">
        <v>1525</v>
      </c>
      <c r="D15" s="62" t="s">
        <v>1127</v>
      </c>
      <c r="E15" s="43"/>
      <c r="F15" s="44"/>
      <c r="G15" s="43">
        <v>300</v>
      </c>
      <c r="H15" s="44"/>
      <c r="I15" s="43"/>
      <c r="J15" s="45"/>
    </row>
    <row r="16" spans="1:52">
      <c r="A16" s="41">
        <v>8</v>
      </c>
      <c r="B16" s="46">
        <v>46045</v>
      </c>
      <c r="C16" s="42" t="s">
        <v>1526</v>
      </c>
      <c r="D16" s="62" t="s">
        <v>741</v>
      </c>
      <c r="E16" s="43"/>
      <c r="F16" s="44"/>
      <c r="G16" s="43">
        <v>1000</v>
      </c>
      <c r="H16" s="44"/>
      <c r="I16" s="43"/>
      <c r="J16" s="45"/>
    </row>
    <row r="17" spans="1:10">
      <c r="A17" s="41">
        <v>9</v>
      </c>
      <c r="B17" s="46">
        <v>46045</v>
      </c>
      <c r="C17" s="42" t="s">
        <v>1527</v>
      </c>
      <c r="D17" s="62" t="s">
        <v>1528</v>
      </c>
      <c r="E17" s="43"/>
      <c r="F17" s="44"/>
      <c r="G17" s="43">
        <v>300</v>
      </c>
      <c r="H17" s="44"/>
      <c r="I17" s="43"/>
      <c r="J17" s="45"/>
    </row>
    <row r="18" spans="1:10">
      <c r="A18" s="41">
        <v>10</v>
      </c>
      <c r="B18" s="46">
        <v>46045</v>
      </c>
      <c r="C18" s="42" t="s">
        <v>1529</v>
      </c>
      <c r="D18" s="62" t="s">
        <v>345</v>
      </c>
      <c r="E18" s="43"/>
      <c r="F18" s="44"/>
      <c r="G18" s="43">
        <v>98.64</v>
      </c>
      <c r="H18" s="44"/>
      <c r="I18" s="43"/>
      <c r="J18" s="45"/>
    </row>
    <row r="19" spans="1:10">
      <c r="A19" s="41">
        <v>11</v>
      </c>
      <c r="B19" s="46">
        <v>46045</v>
      </c>
      <c r="C19" s="42" t="s">
        <v>1530</v>
      </c>
      <c r="D19" s="62" t="s">
        <v>467</v>
      </c>
      <c r="E19" s="43"/>
      <c r="F19" s="44"/>
      <c r="G19" s="43">
        <v>300</v>
      </c>
      <c r="H19" s="44"/>
      <c r="I19" s="43"/>
      <c r="J19" s="45"/>
    </row>
    <row r="20" spans="1:10">
      <c r="A20" s="41">
        <v>12</v>
      </c>
      <c r="B20" s="46">
        <v>46045</v>
      </c>
      <c r="C20" s="42" t="s">
        <v>1531</v>
      </c>
      <c r="D20" s="62" t="s">
        <v>1480</v>
      </c>
      <c r="E20" s="43"/>
      <c r="F20" s="44"/>
      <c r="G20" s="43">
        <v>193.05</v>
      </c>
      <c r="H20" s="44"/>
      <c r="I20" s="43"/>
      <c r="J20" s="45"/>
    </row>
    <row r="21" spans="1:10">
      <c r="A21" s="41">
        <v>13</v>
      </c>
      <c r="B21" s="46">
        <v>46045</v>
      </c>
      <c r="C21" s="42" t="s">
        <v>1532</v>
      </c>
      <c r="D21" s="62" t="s">
        <v>1533</v>
      </c>
      <c r="E21" s="43"/>
      <c r="F21" s="44"/>
      <c r="G21" s="43">
        <v>1100</v>
      </c>
      <c r="H21" s="44"/>
      <c r="I21" s="43"/>
      <c r="J21" s="45"/>
    </row>
    <row r="22" spans="1:10">
      <c r="A22" s="41">
        <v>14</v>
      </c>
      <c r="B22" s="46">
        <v>46045</v>
      </c>
      <c r="C22" s="42" t="s">
        <v>1534</v>
      </c>
      <c r="D22" s="62" t="s">
        <v>1535</v>
      </c>
      <c r="E22" s="43"/>
      <c r="F22" s="44"/>
      <c r="G22" s="43">
        <v>2500</v>
      </c>
      <c r="H22" s="44"/>
      <c r="I22" s="43"/>
      <c r="J22" s="45"/>
    </row>
    <row r="23" spans="1:10">
      <c r="A23" s="41">
        <v>15</v>
      </c>
      <c r="B23" s="46">
        <v>46045</v>
      </c>
      <c r="C23" s="42" t="s">
        <v>1536</v>
      </c>
      <c r="D23" s="62" t="s">
        <v>1537</v>
      </c>
      <c r="E23" s="43"/>
      <c r="F23" s="44"/>
      <c r="G23" s="43">
        <v>1300.23</v>
      </c>
      <c r="H23" s="44"/>
      <c r="I23" s="43"/>
      <c r="J23" s="45"/>
    </row>
    <row r="24" spans="1:10">
      <c r="A24" s="41">
        <v>16</v>
      </c>
      <c r="B24" s="46">
        <v>46045</v>
      </c>
      <c r="C24" s="42" t="s">
        <v>1538</v>
      </c>
      <c r="D24" s="62" t="s">
        <v>1539</v>
      </c>
      <c r="E24" s="43"/>
      <c r="F24" s="44"/>
      <c r="G24" s="43">
        <v>1200</v>
      </c>
      <c r="H24" s="44"/>
      <c r="I24" s="43"/>
      <c r="J24" s="45"/>
    </row>
    <row r="25" spans="1:10">
      <c r="A25" s="41">
        <v>17</v>
      </c>
      <c r="B25" s="46">
        <v>46045</v>
      </c>
      <c r="C25" s="42" t="s">
        <v>1540</v>
      </c>
      <c r="D25" s="62" t="s">
        <v>1482</v>
      </c>
      <c r="E25" s="43"/>
      <c r="F25" s="44"/>
      <c r="G25" s="43">
        <v>923.41</v>
      </c>
      <c r="H25" s="44"/>
      <c r="I25" s="43"/>
      <c r="J25" s="45"/>
    </row>
    <row r="26" spans="1:10">
      <c r="A26" s="41">
        <v>18</v>
      </c>
      <c r="B26" s="46">
        <v>46045</v>
      </c>
      <c r="C26" s="42" t="s">
        <v>1541</v>
      </c>
      <c r="D26" s="62" t="s">
        <v>1542</v>
      </c>
      <c r="E26" s="43"/>
      <c r="F26" s="44"/>
      <c r="G26" s="43">
        <v>306.05</v>
      </c>
      <c r="H26" s="44"/>
      <c r="I26" s="43"/>
      <c r="J26" s="45"/>
    </row>
    <row r="27" spans="1:10">
      <c r="A27" s="41">
        <v>19</v>
      </c>
      <c r="B27" s="46">
        <v>46045</v>
      </c>
      <c r="C27" s="42" t="s">
        <v>1543</v>
      </c>
      <c r="D27" s="62" t="s">
        <v>1544</v>
      </c>
      <c r="E27" s="43"/>
      <c r="F27" s="44"/>
      <c r="G27" s="43">
        <v>800</v>
      </c>
      <c r="H27" s="44"/>
      <c r="I27" s="43"/>
      <c r="J27" s="45"/>
    </row>
    <row r="28" spans="1:10">
      <c r="A28" s="41">
        <v>20</v>
      </c>
      <c r="B28" s="46">
        <v>46045</v>
      </c>
      <c r="C28" s="42" t="s">
        <v>1545</v>
      </c>
      <c r="D28" s="62" t="s">
        <v>1546</v>
      </c>
      <c r="E28" s="43"/>
      <c r="F28" s="44"/>
      <c r="G28" s="43">
        <v>200</v>
      </c>
      <c r="H28" s="44"/>
      <c r="I28" s="43"/>
      <c r="J28" s="45"/>
    </row>
    <row r="29" spans="1:10" s="9" customFormat="1" ht="12.45">
      <c r="A29" s="41">
        <v>21</v>
      </c>
      <c r="B29" s="46">
        <v>46045</v>
      </c>
      <c r="C29" s="42" t="s">
        <v>1547</v>
      </c>
      <c r="D29" s="62" t="s">
        <v>594</v>
      </c>
      <c r="E29" s="43"/>
      <c r="F29" s="44"/>
      <c r="G29" s="43">
        <v>2500</v>
      </c>
      <c r="H29" s="44"/>
      <c r="I29" s="43"/>
      <c r="J29" s="45"/>
    </row>
    <row r="30" spans="1:10">
      <c r="A30" s="41">
        <v>22</v>
      </c>
      <c r="B30" s="46">
        <v>46045</v>
      </c>
      <c r="C30" s="42" t="s">
        <v>1548</v>
      </c>
      <c r="D30" s="62" t="s">
        <v>1549</v>
      </c>
      <c r="E30" s="43"/>
      <c r="F30" s="44"/>
      <c r="G30" s="43">
        <v>100</v>
      </c>
      <c r="H30" s="44"/>
      <c r="I30" s="43"/>
      <c r="J30" s="45"/>
    </row>
    <row r="31" spans="1:10">
      <c r="A31" s="41">
        <v>23</v>
      </c>
      <c r="B31" s="46">
        <v>46045</v>
      </c>
      <c r="C31" s="42" t="s">
        <v>1550</v>
      </c>
      <c r="D31" s="62" t="s">
        <v>366</v>
      </c>
      <c r="E31" s="43"/>
      <c r="F31" s="44"/>
      <c r="G31" s="43">
        <v>500</v>
      </c>
      <c r="H31" s="44"/>
      <c r="I31" s="43"/>
      <c r="J31" s="45"/>
    </row>
    <row r="32" spans="1:10">
      <c r="A32" s="41">
        <v>24</v>
      </c>
      <c r="B32" s="46">
        <v>46045</v>
      </c>
      <c r="C32" s="42" t="s">
        <v>1551</v>
      </c>
      <c r="D32" s="62" t="s">
        <v>1140</v>
      </c>
      <c r="E32" s="43"/>
      <c r="F32" s="44"/>
      <c r="G32" s="43">
        <v>300</v>
      </c>
      <c r="H32" s="44"/>
      <c r="I32" s="43"/>
      <c r="J32" s="45"/>
    </row>
    <row r="33" spans="1:10">
      <c r="A33" s="41">
        <v>25</v>
      </c>
      <c r="B33" s="46">
        <v>46045</v>
      </c>
      <c r="C33" s="42" t="s">
        <v>1552</v>
      </c>
      <c r="D33" s="62" t="s">
        <v>1553</v>
      </c>
      <c r="E33" s="43"/>
      <c r="F33" s="44"/>
      <c r="G33" s="43">
        <v>228.41</v>
      </c>
      <c r="H33" s="44"/>
      <c r="I33" s="43"/>
      <c r="J33" s="45"/>
    </row>
    <row r="34" spans="1:10">
      <c r="A34" s="41">
        <v>26</v>
      </c>
      <c r="B34" s="46">
        <v>46045</v>
      </c>
      <c r="C34" s="42" t="s">
        <v>1554</v>
      </c>
      <c r="D34" s="62" t="s">
        <v>1555</v>
      </c>
      <c r="E34" s="43"/>
      <c r="F34" s="44"/>
      <c r="G34" s="43">
        <v>106.41</v>
      </c>
      <c r="H34" s="44"/>
      <c r="I34" s="43"/>
      <c r="J34" s="45"/>
    </row>
    <row r="35" spans="1:10">
      <c r="A35" s="41">
        <v>27</v>
      </c>
      <c r="B35" s="46">
        <v>46045</v>
      </c>
      <c r="C35" s="42" t="s">
        <v>1556</v>
      </c>
      <c r="D35" s="62" t="s">
        <v>1557</v>
      </c>
      <c r="E35" s="43"/>
      <c r="F35" s="44"/>
      <c r="G35" s="43">
        <v>160</v>
      </c>
      <c r="H35" s="44"/>
      <c r="I35" s="43"/>
      <c r="J35" s="45"/>
    </row>
    <row r="36" spans="1:10">
      <c r="A36" s="41">
        <v>28</v>
      </c>
      <c r="B36" s="46">
        <v>46045</v>
      </c>
      <c r="C36" s="42" t="s">
        <v>1558</v>
      </c>
      <c r="D36" s="62" t="s">
        <v>1098</v>
      </c>
      <c r="E36" s="43"/>
      <c r="F36" s="44"/>
      <c r="G36" s="43">
        <v>575.59</v>
      </c>
      <c r="H36" s="44"/>
      <c r="I36" s="43"/>
      <c r="J36" s="45"/>
    </row>
    <row r="37" spans="1:10">
      <c r="A37" s="41">
        <v>29</v>
      </c>
      <c r="B37" s="46">
        <v>46045</v>
      </c>
      <c r="C37" s="42" t="s">
        <v>1559</v>
      </c>
      <c r="D37" s="62" t="s">
        <v>1560</v>
      </c>
      <c r="E37" s="43"/>
      <c r="F37" s="44"/>
      <c r="G37" s="43">
        <v>100</v>
      </c>
      <c r="H37" s="44"/>
      <c r="I37" s="43"/>
      <c r="J37" s="45"/>
    </row>
    <row r="38" spans="1:10">
      <c r="A38" s="41">
        <v>30</v>
      </c>
      <c r="B38" s="46">
        <v>46045</v>
      </c>
      <c r="C38" s="42" t="s">
        <v>1561</v>
      </c>
      <c r="D38" s="62" t="s">
        <v>1562</v>
      </c>
      <c r="E38" s="43"/>
      <c r="F38" s="44"/>
      <c r="G38" s="43">
        <v>2500</v>
      </c>
      <c r="H38" s="44"/>
      <c r="I38" s="43"/>
      <c r="J38" s="45"/>
    </row>
    <row r="39" spans="1:10">
      <c r="A39" s="41">
        <v>31</v>
      </c>
      <c r="B39" s="46">
        <v>46045</v>
      </c>
      <c r="C39" s="42" t="s">
        <v>1563</v>
      </c>
      <c r="D39" s="62" t="s">
        <v>1104</v>
      </c>
      <c r="E39" s="43"/>
      <c r="F39" s="44"/>
      <c r="G39" s="43">
        <v>200</v>
      </c>
      <c r="H39" s="44"/>
      <c r="I39" s="43"/>
      <c r="J39" s="45"/>
    </row>
    <row r="40" spans="1:10" s="9" customFormat="1" ht="12.45">
      <c r="A40" s="41">
        <v>32</v>
      </c>
      <c r="B40" s="46">
        <v>46045</v>
      </c>
      <c r="C40" s="42" t="s">
        <v>1564</v>
      </c>
      <c r="D40" s="62" t="s">
        <v>1361</v>
      </c>
      <c r="E40" s="43"/>
      <c r="F40" s="44"/>
      <c r="G40" s="43">
        <v>200</v>
      </c>
      <c r="H40" s="44"/>
      <c r="I40" s="43"/>
      <c r="J40" s="45"/>
    </row>
    <row r="41" spans="1:10" s="9" customFormat="1" ht="12.45">
      <c r="A41" s="41">
        <v>33</v>
      </c>
      <c r="B41" s="46">
        <v>46045</v>
      </c>
      <c r="C41" s="42" t="s">
        <v>1565</v>
      </c>
      <c r="D41" s="62" t="s">
        <v>1566</v>
      </c>
      <c r="E41" s="43"/>
      <c r="F41" s="44"/>
      <c r="G41" s="43">
        <v>167.37</v>
      </c>
      <c r="H41" s="44"/>
      <c r="I41" s="43"/>
      <c r="J41" s="45"/>
    </row>
    <row r="42" spans="1:10">
      <c r="A42" s="41">
        <v>34</v>
      </c>
      <c r="B42" s="46">
        <v>46045</v>
      </c>
      <c r="C42" s="42" t="s">
        <v>1567</v>
      </c>
      <c r="D42" s="62" t="s">
        <v>1568</v>
      </c>
      <c r="E42" s="43"/>
      <c r="F42" s="44"/>
      <c r="G42" s="43"/>
      <c r="H42" s="44">
        <v>29625000</v>
      </c>
      <c r="I42" s="43"/>
      <c r="J42" s="45"/>
    </row>
    <row r="43" spans="1:10">
      <c r="A43" s="41">
        <v>35</v>
      </c>
      <c r="B43" s="46">
        <v>46045</v>
      </c>
      <c r="C43" s="42" t="s">
        <v>1569</v>
      </c>
      <c r="D43" s="62" t="s">
        <v>755</v>
      </c>
      <c r="E43" s="43"/>
      <c r="F43" s="44"/>
      <c r="G43" s="43"/>
      <c r="H43" s="44">
        <v>10265000</v>
      </c>
      <c r="I43" s="43"/>
      <c r="J43" s="45"/>
    </row>
    <row r="44" spans="1:10">
      <c r="A44" s="41">
        <v>36</v>
      </c>
      <c r="B44" s="46">
        <v>46045</v>
      </c>
      <c r="C44" s="42" t="s">
        <v>1570</v>
      </c>
      <c r="D44" s="62" t="s">
        <v>1571</v>
      </c>
      <c r="E44" s="43"/>
      <c r="F44" s="44"/>
      <c r="G44" s="43"/>
      <c r="H44" s="44">
        <v>72448000</v>
      </c>
      <c r="I44" s="43"/>
      <c r="J44" s="45"/>
    </row>
    <row r="45" spans="1:10">
      <c r="A45" s="41">
        <v>37</v>
      </c>
      <c r="B45" s="46">
        <v>46045</v>
      </c>
      <c r="C45" s="42" t="s">
        <v>1572</v>
      </c>
      <c r="D45" s="62" t="s">
        <v>745</v>
      </c>
      <c r="E45" s="43"/>
      <c r="F45" s="44"/>
      <c r="G45" s="43"/>
      <c r="H45" s="44">
        <v>4243000</v>
      </c>
      <c r="I45" s="43"/>
      <c r="J45" s="45"/>
    </row>
    <row r="46" spans="1:10" s="9" customFormat="1" thickBot="1">
      <c r="A46" s="47"/>
      <c r="B46" s="48"/>
      <c r="C46" s="48"/>
      <c r="D46" s="48" t="s">
        <v>4</v>
      </c>
      <c r="E46" s="50"/>
      <c r="F46" s="49"/>
      <c r="G46" s="50">
        <v>22983.23</v>
      </c>
      <c r="H46" s="49">
        <v>116581000</v>
      </c>
      <c r="I46" s="50">
        <v>66709.42</v>
      </c>
      <c r="J46" s="51">
        <f>J7+F8-H46</f>
        <v>183662316</v>
      </c>
    </row>
    <row r="48" spans="1:10">
      <c r="H48" s="10" t="s">
        <v>14</v>
      </c>
    </row>
    <row r="49" spans="8:8">
      <c r="H49" s="11" t="s">
        <v>15</v>
      </c>
    </row>
    <row r="100" spans="52:52">
      <c r="AZ100" s="1" t="s">
        <v>5</v>
      </c>
    </row>
  </sheetData>
  <mergeCells count="9">
    <mergeCell ref="A1:E2"/>
    <mergeCell ref="A3:J4"/>
    <mergeCell ref="A5:A6"/>
    <mergeCell ref="B5:B6"/>
    <mergeCell ref="C5:C6"/>
    <mergeCell ref="D5:D6"/>
    <mergeCell ref="E5:F5"/>
    <mergeCell ref="G5:H5"/>
    <mergeCell ref="I5:J5"/>
  </mergeCells>
  <pageMargins left="0.5" right="0" top="0.5" bottom="0.5" header="0" footer="0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4C4D3-C654-43B1-8AD3-AC99401C7AA5}">
  <sheetPr>
    <tabColor rgb="FFFFFF00"/>
  </sheetPr>
  <dimension ref="A1:AZ92"/>
  <sheetViews>
    <sheetView topLeftCell="D23" zoomScale="85" zoomScaleNormal="85" workbookViewId="0">
      <selection activeCell="J38" sqref="J38"/>
    </sheetView>
  </sheetViews>
  <sheetFormatPr defaultColWidth="9.15234375" defaultRowHeight="12.9"/>
  <cols>
    <col min="1" max="1" width="4.23046875" style="1" bestFit="1" customWidth="1"/>
    <col min="2" max="2" width="6.84375" style="1" bestFit="1" customWidth="1"/>
    <col min="3" max="3" width="10.23046875" style="6" bestFit="1" customWidth="1"/>
    <col min="4" max="4" width="23.4609375" style="1" bestFit="1" customWidth="1"/>
    <col min="5" max="5" width="4" style="7" bestFit="1" customWidth="1"/>
    <col min="6" max="6" width="4.23046875" style="1" bestFit="1" customWidth="1"/>
    <col min="7" max="7" width="8.84375" style="1" bestFit="1" customWidth="1"/>
    <col min="8" max="8" width="9.765625" style="1" bestFit="1" customWidth="1"/>
    <col min="9" max="9" width="8.84375" style="1" bestFit="1" customWidth="1"/>
    <col min="10" max="10" width="10.61328125" style="1" bestFit="1" customWidth="1"/>
    <col min="11" max="16384" width="9.15234375" style="1"/>
  </cols>
  <sheetData>
    <row r="1" spans="1:52" ht="28.3" customHeight="1">
      <c r="A1" s="79" t="s">
        <v>17</v>
      </c>
      <c r="B1" s="80"/>
      <c r="C1" s="80"/>
      <c r="D1" s="80"/>
      <c r="E1" s="80"/>
    </row>
    <row r="2" spans="1:52" ht="28.3" customHeight="1">
      <c r="A2" s="80"/>
      <c r="B2" s="80"/>
      <c r="C2" s="80"/>
      <c r="D2" s="80"/>
      <c r="E2" s="80"/>
    </row>
    <row r="3" spans="1:52">
      <c r="A3" s="81" t="s">
        <v>11</v>
      </c>
      <c r="B3" s="81"/>
      <c r="C3" s="81"/>
      <c r="D3" s="81"/>
      <c r="E3" s="81"/>
      <c r="F3" s="81"/>
      <c r="G3" s="81"/>
      <c r="H3" s="81"/>
      <c r="I3" s="81"/>
      <c r="J3" s="81"/>
      <c r="AS3" s="2">
        <v>43921</v>
      </c>
      <c r="AZ3" s="1">
        <f>(AQ3-4)*20000</f>
        <v>-80000</v>
      </c>
    </row>
    <row r="4" spans="1:52" ht="13.3" thickBot="1">
      <c r="A4" s="81"/>
      <c r="B4" s="81"/>
      <c r="C4" s="81"/>
      <c r="D4" s="81"/>
      <c r="E4" s="81"/>
      <c r="F4" s="81"/>
      <c r="G4" s="81"/>
      <c r="H4" s="81"/>
      <c r="I4" s="81"/>
      <c r="J4" s="81"/>
    </row>
    <row r="5" spans="1:52">
      <c r="A5" s="82" t="s">
        <v>0</v>
      </c>
      <c r="B5" s="84" t="s">
        <v>9</v>
      </c>
      <c r="C5" s="86" t="s">
        <v>1</v>
      </c>
      <c r="D5" s="84" t="s">
        <v>10</v>
      </c>
      <c r="E5" s="88" t="s">
        <v>13</v>
      </c>
      <c r="F5" s="88"/>
      <c r="G5" s="88" t="s">
        <v>8</v>
      </c>
      <c r="H5" s="88"/>
      <c r="I5" s="88" t="s">
        <v>7</v>
      </c>
      <c r="J5" s="89"/>
    </row>
    <row r="6" spans="1:52">
      <c r="A6" s="83"/>
      <c r="B6" s="85"/>
      <c r="C6" s="87"/>
      <c r="D6" s="85"/>
      <c r="E6" s="38" t="s">
        <v>2</v>
      </c>
      <c r="F6" s="39" t="s">
        <v>6</v>
      </c>
      <c r="G6" s="39" t="s">
        <v>2</v>
      </c>
      <c r="H6" s="39" t="s">
        <v>6</v>
      </c>
      <c r="I6" s="39" t="s">
        <v>2</v>
      </c>
      <c r="J6" s="40" t="s">
        <v>6</v>
      </c>
    </row>
    <row r="7" spans="1:52">
      <c r="A7" s="41"/>
      <c r="B7" s="42"/>
      <c r="C7" s="42"/>
      <c r="D7" s="42" t="s">
        <v>12</v>
      </c>
      <c r="E7" s="43"/>
      <c r="F7" s="44"/>
      <c r="G7" s="43"/>
      <c r="H7" s="44"/>
      <c r="I7" s="43">
        <v>66709.42</v>
      </c>
      <c r="J7" s="45">
        <v>183662316</v>
      </c>
    </row>
    <row r="8" spans="1:52">
      <c r="A8" s="41"/>
      <c r="B8" s="42"/>
      <c r="C8" s="42"/>
      <c r="D8" s="42" t="s">
        <v>16</v>
      </c>
      <c r="E8" s="43">
        <v>0</v>
      </c>
      <c r="F8" s="44">
        <v>0</v>
      </c>
      <c r="G8" s="43"/>
      <c r="H8" s="44"/>
      <c r="I8" s="43"/>
      <c r="J8" s="45"/>
    </row>
    <row r="9" spans="1:52">
      <c r="A9" s="41">
        <v>1</v>
      </c>
      <c r="B9" s="46">
        <v>46046</v>
      </c>
      <c r="C9" s="42" t="s">
        <v>1573</v>
      </c>
      <c r="D9" s="42" t="s">
        <v>1574</v>
      </c>
      <c r="E9" s="43"/>
      <c r="F9" s="44"/>
      <c r="G9" s="43">
        <v>1676.2</v>
      </c>
      <c r="H9" s="44"/>
      <c r="I9" s="43"/>
      <c r="J9" s="45"/>
    </row>
    <row r="10" spans="1:52">
      <c r="A10" s="41">
        <v>2</v>
      </c>
      <c r="B10" s="46">
        <v>46046</v>
      </c>
      <c r="C10" s="42" t="s">
        <v>1575</v>
      </c>
      <c r="D10" s="42" t="s">
        <v>1576</v>
      </c>
      <c r="E10" s="43"/>
      <c r="F10" s="44"/>
      <c r="G10" s="43">
        <v>800</v>
      </c>
      <c r="H10" s="44"/>
      <c r="I10" s="43"/>
      <c r="J10" s="45"/>
      <c r="AX10" s="5" t="s">
        <v>3</v>
      </c>
    </row>
    <row r="11" spans="1:52">
      <c r="A11" s="41">
        <v>3</v>
      </c>
      <c r="B11" s="46">
        <v>46046</v>
      </c>
      <c r="C11" s="42" t="s">
        <v>1577</v>
      </c>
      <c r="D11" s="42" t="s">
        <v>1578</v>
      </c>
      <c r="E11" s="43"/>
      <c r="F11" s="44"/>
      <c r="G11" s="43">
        <v>1200</v>
      </c>
      <c r="H11" s="44"/>
      <c r="I11" s="43"/>
      <c r="J11" s="45"/>
    </row>
    <row r="12" spans="1:52">
      <c r="A12" s="41">
        <v>4</v>
      </c>
      <c r="B12" s="46">
        <v>46046</v>
      </c>
      <c r="C12" s="42" t="s">
        <v>1579</v>
      </c>
      <c r="D12" s="42" t="s">
        <v>752</v>
      </c>
      <c r="E12" s="43"/>
      <c r="F12" s="44"/>
      <c r="G12" s="43">
        <v>600</v>
      </c>
      <c r="H12" s="44"/>
      <c r="I12" s="43"/>
      <c r="J12" s="45"/>
    </row>
    <row r="13" spans="1:52">
      <c r="A13" s="41">
        <v>5</v>
      </c>
      <c r="B13" s="46">
        <v>46046</v>
      </c>
      <c r="C13" s="42" t="s">
        <v>1580</v>
      </c>
      <c r="D13" s="42" t="s">
        <v>1581</v>
      </c>
      <c r="E13" s="43"/>
      <c r="F13" s="44"/>
      <c r="G13" s="43">
        <v>100</v>
      </c>
      <c r="H13" s="44"/>
      <c r="I13" s="43"/>
      <c r="J13" s="45"/>
    </row>
    <row r="14" spans="1:52">
      <c r="A14" s="41">
        <v>6</v>
      </c>
      <c r="B14" s="46">
        <v>46046</v>
      </c>
      <c r="C14" s="42" t="s">
        <v>1582</v>
      </c>
      <c r="D14" s="42" t="s">
        <v>1583</v>
      </c>
      <c r="E14" s="43"/>
      <c r="F14" s="44"/>
      <c r="G14" s="43">
        <v>300</v>
      </c>
      <c r="H14" s="44"/>
      <c r="I14" s="43"/>
      <c r="J14" s="45"/>
    </row>
    <row r="15" spans="1:52">
      <c r="A15" s="41">
        <v>7</v>
      </c>
      <c r="B15" s="46">
        <v>46046</v>
      </c>
      <c r="C15" s="42" t="s">
        <v>1584</v>
      </c>
      <c r="D15" s="42" t="s">
        <v>1585</v>
      </c>
      <c r="E15" s="43"/>
      <c r="F15" s="44"/>
      <c r="G15" s="43">
        <v>250</v>
      </c>
      <c r="H15" s="44"/>
      <c r="I15" s="43"/>
      <c r="J15" s="45"/>
    </row>
    <row r="16" spans="1:52">
      <c r="A16" s="41">
        <v>8</v>
      </c>
      <c r="B16" s="46">
        <v>46046</v>
      </c>
      <c r="C16" s="42" t="s">
        <v>1586</v>
      </c>
      <c r="D16" s="42" t="s">
        <v>1587</v>
      </c>
      <c r="E16" s="43"/>
      <c r="F16" s="44"/>
      <c r="G16" s="43">
        <v>600</v>
      </c>
      <c r="H16" s="44"/>
      <c r="I16" s="43"/>
      <c r="J16" s="45"/>
    </row>
    <row r="17" spans="1:10">
      <c r="A17" s="41">
        <v>9</v>
      </c>
      <c r="B17" s="46">
        <v>46046</v>
      </c>
      <c r="C17" s="42" t="s">
        <v>1588</v>
      </c>
      <c r="D17" s="42" t="s">
        <v>1589</v>
      </c>
      <c r="E17" s="43"/>
      <c r="F17" s="44"/>
      <c r="G17" s="43">
        <v>925</v>
      </c>
      <c r="H17" s="44"/>
      <c r="I17" s="43"/>
      <c r="J17" s="45"/>
    </row>
    <row r="18" spans="1:10">
      <c r="A18" s="41">
        <v>10</v>
      </c>
      <c r="B18" s="46">
        <v>46046</v>
      </c>
      <c r="C18" s="42" t="s">
        <v>1590</v>
      </c>
      <c r="D18" s="42" t="s">
        <v>179</v>
      </c>
      <c r="E18" s="43"/>
      <c r="F18" s="44"/>
      <c r="G18" s="43">
        <v>200</v>
      </c>
      <c r="H18" s="44"/>
      <c r="I18" s="43"/>
      <c r="J18" s="45"/>
    </row>
    <row r="19" spans="1:10">
      <c r="A19" s="41">
        <v>11</v>
      </c>
      <c r="B19" s="46">
        <v>46046</v>
      </c>
      <c r="C19" s="42" t="s">
        <v>1591</v>
      </c>
      <c r="D19" s="42" t="s">
        <v>1592</v>
      </c>
      <c r="E19" s="43"/>
      <c r="F19" s="44"/>
      <c r="G19" s="43">
        <v>75.89</v>
      </c>
      <c r="H19" s="44"/>
      <c r="I19" s="43"/>
      <c r="J19" s="45"/>
    </row>
    <row r="20" spans="1:10">
      <c r="A20" s="41">
        <v>12</v>
      </c>
      <c r="B20" s="46">
        <v>46046</v>
      </c>
      <c r="C20" s="42" t="s">
        <v>1593</v>
      </c>
      <c r="D20" s="42" t="s">
        <v>1594</v>
      </c>
      <c r="E20" s="43"/>
      <c r="F20" s="44"/>
      <c r="G20" s="43">
        <v>1160.46</v>
      </c>
      <c r="H20" s="44"/>
      <c r="I20" s="43"/>
      <c r="J20" s="45"/>
    </row>
    <row r="21" spans="1:10">
      <c r="A21" s="41">
        <v>13</v>
      </c>
      <c r="B21" s="46">
        <v>46046</v>
      </c>
      <c r="C21" s="42" t="s">
        <v>1595</v>
      </c>
      <c r="D21" s="42" t="s">
        <v>779</v>
      </c>
      <c r="E21" s="43"/>
      <c r="F21" s="44"/>
      <c r="G21" s="43">
        <v>300</v>
      </c>
      <c r="H21" s="44"/>
      <c r="I21" s="43"/>
      <c r="J21" s="45"/>
    </row>
    <row r="22" spans="1:10">
      <c r="A22" s="41">
        <v>14</v>
      </c>
      <c r="B22" s="46">
        <v>46046</v>
      </c>
      <c r="C22" s="42" t="s">
        <v>1596</v>
      </c>
      <c r="D22" s="42" t="s">
        <v>1597</v>
      </c>
      <c r="E22" s="43"/>
      <c r="F22" s="44"/>
      <c r="G22" s="43">
        <v>140</v>
      </c>
      <c r="H22" s="44"/>
      <c r="I22" s="43"/>
      <c r="J22" s="45"/>
    </row>
    <row r="23" spans="1:10">
      <c r="A23" s="41">
        <v>15</v>
      </c>
      <c r="B23" s="46">
        <v>46046</v>
      </c>
      <c r="C23" s="42" t="s">
        <v>1598</v>
      </c>
      <c r="D23" s="42" t="s">
        <v>1599</v>
      </c>
      <c r="E23" s="43"/>
      <c r="F23" s="44"/>
      <c r="G23" s="43">
        <v>227</v>
      </c>
      <c r="H23" s="44"/>
      <c r="I23" s="43"/>
      <c r="J23" s="45"/>
    </row>
    <row r="24" spans="1:10">
      <c r="A24" s="41">
        <v>16</v>
      </c>
      <c r="B24" s="46">
        <v>46046</v>
      </c>
      <c r="C24" s="42" t="s">
        <v>1600</v>
      </c>
      <c r="D24" s="42" t="s">
        <v>1601</v>
      </c>
      <c r="E24" s="43"/>
      <c r="F24" s="44"/>
      <c r="G24" s="43">
        <v>1800</v>
      </c>
      <c r="H24" s="44"/>
      <c r="I24" s="43"/>
      <c r="J24" s="45"/>
    </row>
    <row r="25" spans="1:10">
      <c r="A25" s="41">
        <v>17</v>
      </c>
      <c r="B25" s="46">
        <v>46046</v>
      </c>
      <c r="C25" s="42" t="s">
        <v>1602</v>
      </c>
      <c r="D25" s="42" t="s">
        <v>442</v>
      </c>
      <c r="E25" s="43"/>
      <c r="F25" s="44"/>
      <c r="G25" s="43">
        <v>326.86</v>
      </c>
      <c r="H25" s="44"/>
      <c r="I25" s="43"/>
      <c r="J25" s="45"/>
    </row>
    <row r="26" spans="1:10">
      <c r="A26" s="41">
        <v>18</v>
      </c>
      <c r="B26" s="46">
        <v>46046</v>
      </c>
      <c r="C26" s="42" t="s">
        <v>1603</v>
      </c>
      <c r="D26" s="42" t="s">
        <v>1604</v>
      </c>
      <c r="E26" s="43"/>
      <c r="F26" s="44"/>
      <c r="G26" s="43">
        <v>1200</v>
      </c>
      <c r="H26" s="44"/>
      <c r="I26" s="43"/>
      <c r="J26" s="45"/>
    </row>
    <row r="27" spans="1:10">
      <c r="A27" s="41">
        <v>19</v>
      </c>
      <c r="B27" s="46">
        <v>46046</v>
      </c>
      <c r="C27" s="42" t="s">
        <v>1605</v>
      </c>
      <c r="D27" s="42" t="s">
        <v>1462</v>
      </c>
      <c r="E27" s="43"/>
      <c r="F27" s="44"/>
      <c r="G27" s="43">
        <v>100</v>
      </c>
      <c r="H27" s="44"/>
      <c r="I27" s="43"/>
      <c r="J27" s="45"/>
    </row>
    <row r="28" spans="1:10">
      <c r="A28" s="41">
        <v>20</v>
      </c>
      <c r="B28" s="46">
        <v>46046</v>
      </c>
      <c r="C28" s="42" t="s">
        <v>1606</v>
      </c>
      <c r="D28" s="42" t="s">
        <v>725</v>
      </c>
      <c r="E28" s="43"/>
      <c r="F28" s="44"/>
      <c r="G28" s="43">
        <v>300</v>
      </c>
      <c r="H28" s="44"/>
      <c r="I28" s="43"/>
      <c r="J28" s="45"/>
    </row>
    <row r="29" spans="1:10" s="9" customFormat="1" ht="12.45">
      <c r="A29" s="41">
        <v>21</v>
      </c>
      <c r="B29" s="46">
        <v>46046</v>
      </c>
      <c r="C29" s="42" t="s">
        <v>1607</v>
      </c>
      <c r="D29" s="42" t="s">
        <v>1608</v>
      </c>
      <c r="E29" s="43"/>
      <c r="F29" s="44"/>
      <c r="G29" s="43">
        <v>40.65</v>
      </c>
      <c r="H29" s="44"/>
      <c r="I29" s="43"/>
      <c r="J29" s="45"/>
    </row>
    <row r="30" spans="1:10">
      <c r="A30" s="41">
        <v>22</v>
      </c>
      <c r="B30" s="46">
        <v>46046</v>
      </c>
      <c r="C30" s="42" t="s">
        <v>1609</v>
      </c>
      <c r="D30" s="42" t="s">
        <v>713</v>
      </c>
      <c r="E30" s="43"/>
      <c r="F30" s="44"/>
      <c r="G30" s="43">
        <v>115.14</v>
      </c>
      <c r="H30" s="44"/>
      <c r="I30" s="43"/>
      <c r="J30" s="45"/>
    </row>
    <row r="31" spans="1:10">
      <c r="A31" s="41">
        <v>23</v>
      </c>
      <c r="B31" s="46">
        <v>46046</v>
      </c>
      <c r="C31" s="42" t="s">
        <v>1610</v>
      </c>
      <c r="D31" s="42" t="s">
        <v>205</v>
      </c>
      <c r="E31" s="43"/>
      <c r="F31" s="44"/>
      <c r="G31" s="43">
        <v>250</v>
      </c>
      <c r="H31" s="44"/>
      <c r="I31" s="43"/>
      <c r="J31" s="45"/>
    </row>
    <row r="32" spans="1:10">
      <c r="A32" s="41">
        <v>24</v>
      </c>
      <c r="B32" s="46">
        <v>46046</v>
      </c>
      <c r="C32" s="42" t="s">
        <v>1611</v>
      </c>
      <c r="D32" s="42" t="s">
        <v>469</v>
      </c>
      <c r="E32" s="43"/>
      <c r="F32" s="44"/>
      <c r="G32" s="43">
        <v>100</v>
      </c>
      <c r="H32" s="44"/>
      <c r="I32" s="43"/>
      <c r="J32" s="45"/>
    </row>
    <row r="33" spans="1:10" ht="23.6">
      <c r="A33" s="41">
        <v>25</v>
      </c>
      <c r="B33" s="46">
        <v>46046</v>
      </c>
      <c r="C33" s="42" t="s">
        <v>1612</v>
      </c>
      <c r="D33" s="53" t="s">
        <v>2058</v>
      </c>
      <c r="E33" s="43"/>
      <c r="F33" s="44"/>
      <c r="G33" s="43">
        <v>234.93</v>
      </c>
      <c r="H33" s="44"/>
      <c r="I33" s="43"/>
      <c r="J33" s="45"/>
    </row>
    <row r="34" spans="1:10">
      <c r="A34" s="41">
        <v>26</v>
      </c>
      <c r="B34" s="46">
        <v>46046</v>
      </c>
      <c r="C34" s="42" t="s">
        <v>1613</v>
      </c>
      <c r="D34" s="42" t="s">
        <v>1614</v>
      </c>
      <c r="E34" s="43"/>
      <c r="F34" s="44"/>
      <c r="G34" s="43">
        <v>296.29000000000002</v>
      </c>
      <c r="H34" s="44"/>
      <c r="I34" s="43"/>
      <c r="J34" s="45"/>
    </row>
    <row r="35" spans="1:10">
      <c r="A35" s="41">
        <v>27</v>
      </c>
      <c r="B35" s="46">
        <v>46046</v>
      </c>
      <c r="C35" s="42" t="s">
        <v>1615</v>
      </c>
      <c r="D35" s="42" t="s">
        <v>1616</v>
      </c>
      <c r="E35" s="43"/>
      <c r="F35" s="44"/>
      <c r="G35" s="43">
        <v>344.73</v>
      </c>
      <c r="H35" s="44"/>
      <c r="I35" s="43"/>
      <c r="J35" s="45"/>
    </row>
    <row r="36" spans="1:10">
      <c r="A36" s="41">
        <v>28</v>
      </c>
      <c r="B36" s="46">
        <v>46046</v>
      </c>
      <c r="C36" s="42" t="s">
        <v>1617</v>
      </c>
      <c r="D36" s="42" t="s">
        <v>1574</v>
      </c>
      <c r="E36" s="43"/>
      <c r="F36" s="44"/>
      <c r="G36" s="43"/>
      <c r="H36" s="44">
        <v>44474000</v>
      </c>
      <c r="I36" s="43"/>
      <c r="J36" s="45"/>
    </row>
    <row r="37" spans="1:10">
      <c r="A37" s="41">
        <v>29</v>
      </c>
      <c r="B37" s="46">
        <v>46046</v>
      </c>
      <c r="C37" s="42" t="s">
        <v>1618</v>
      </c>
      <c r="D37" s="42" t="s">
        <v>1619</v>
      </c>
      <c r="E37" s="43"/>
      <c r="F37" s="44"/>
      <c r="G37" s="43"/>
      <c r="H37" s="44">
        <v>2589000</v>
      </c>
      <c r="I37" s="43"/>
      <c r="J37" s="45"/>
    </row>
    <row r="38" spans="1:10" s="9" customFormat="1" thickBot="1">
      <c r="A38" s="47"/>
      <c r="B38" s="48"/>
      <c r="C38" s="48"/>
      <c r="D38" s="48" t="s">
        <v>4</v>
      </c>
      <c r="E38" s="50"/>
      <c r="F38" s="49"/>
      <c r="G38" s="50">
        <v>13663.15</v>
      </c>
      <c r="H38" s="49">
        <v>47063000</v>
      </c>
      <c r="I38" s="50">
        <v>53046.27</v>
      </c>
      <c r="J38" s="51">
        <f>J7+F8-H38</f>
        <v>136599316</v>
      </c>
    </row>
    <row r="40" spans="1:10">
      <c r="H40" s="10" t="s">
        <v>14</v>
      </c>
    </row>
    <row r="41" spans="1:10">
      <c r="H41" s="11" t="s">
        <v>15</v>
      </c>
    </row>
    <row r="92" spans="52:52">
      <c r="AZ92" s="1" t="s">
        <v>5</v>
      </c>
    </row>
  </sheetData>
  <mergeCells count="9">
    <mergeCell ref="A1:E2"/>
    <mergeCell ref="A3:J4"/>
    <mergeCell ref="A5:A6"/>
    <mergeCell ref="B5:B6"/>
    <mergeCell ref="C5:C6"/>
    <mergeCell ref="D5:D6"/>
    <mergeCell ref="E5:F5"/>
    <mergeCell ref="G5:H5"/>
    <mergeCell ref="I5:J5"/>
  </mergeCells>
  <pageMargins left="0.5" right="0" top="0.5" bottom="0.5" header="0" footer="0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50E7E-B337-4D96-82E7-E0E10254AD71}">
  <sheetPr>
    <tabColor rgb="FFFFFF00"/>
  </sheetPr>
  <dimension ref="A1:AZ90"/>
  <sheetViews>
    <sheetView topLeftCell="A6" zoomScale="70" zoomScaleNormal="70" workbookViewId="0">
      <selection activeCell="J37" sqref="J37"/>
    </sheetView>
  </sheetViews>
  <sheetFormatPr defaultColWidth="9.15234375" defaultRowHeight="12.9"/>
  <cols>
    <col min="1" max="1" width="4.23046875" style="1" bestFit="1" customWidth="1"/>
    <col min="2" max="2" width="6.84375" style="1" bestFit="1" customWidth="1"/>
    <col min="3" max="3" width="10.23046875" style="6" bestFit="1" customWidth="1"/>
    <col min="4" max="4" width="26.15234375" style="1" bestFit="1" customWidth="1"/>
    <col min="5" max="5" width="4" style="7" bestFit="1" customWidth="1"/>
    <col min="6" max="6" width="9.3046875" style="1" bestFit="1" customWidth="1"/>
    <col min="7" max="7" width="8.84375" style="1" bestFit="1" customWidth="1"/>
    <col min="8" max="8" width="10.61328125" style="1" bestFit="1" customWidth="1"/>
    <col min="9" max="9" width="8.84375" style="1" bestFit="1" customWidth="1"/>
    <col min="10" max="10" width="10.15234375" style="1" bestFit="1" customWidth="1"/>
    <col min="11" max="16384" width="9.15234375" style="1"/>
  </cols>
  <sheetData>
    <row r="1" spans="1:52" ht="28.3" customHeight="1">
      <c r="A1" s="79" t="s">
        <v>17</v>
      </c>
      <c r="B1" s="80"/>
      <c r="C1" s="80"/>
      <c r="D1" s="80"/>
      <c r="E1" s="80"/>
    </row>
    <row r="2" spans="1:52" ht="28.3" customHeight="1">
      <c r="A2" s="80"/>
      <c r="B2" s="80"/>
      <c r="C2" s="80"/>
      <c r="D2" s="80"/>
      <c r="E2" s="80"/>
    </row>
    <row r="3" spans="1:52">
      <c r="A3" s="81" t="s">
        <v>11</v>
      </c>
      <c r="B3" s="81"/>
      <c r="C3" s="81"/>
      <c r="D3" s="81"/>
      <c r="E3" s="81"/>
      <c r="F3" s="81"/>
      <c r="G3" s="81"/>
      <c r="H3" s="81"/>
      <c r="I3" s="81"/>
      <c r="J3" s="81"/>
      <c r="AS3" s="2">
        <v>43921</v>
      </c>
      <c r="AZ3" s="1">
        <f>(AQ3-4)*20000</f>
        <v>-80000</v>
      </c>
    </row>
    <row r="4" spans="1:52" ht="13.3" thickBot="1">
      <c r="A4" s="81"/>
      <c r="B4" s="81"/>
      <c r="C4" s="81"/>
      <c r="D4" s="81"/>
      <c r="E4" s="81"/>
      <c r="F4" s="81"/>
      <c r="G4" s="81"/>
      <c r="H4" s="81"/>
      <c r="I4" s="81"/>
      <c r="J4" s="81"/>
    </row>
    <row r="5" spans="1:52" ht="32.25" customHeight="1">
      <c r="A5" s="82" t="s">
        <v>0</v>
      </c>
      <c r="B5" s="84" t="s">
        <v>9</v>
      </c>
      <c r="C5" s="86" t="s">
        <v>1</v>
      </c>
      <c r="D5" s="84" t="s">
        <v>10</v>
      </c>
      <c r="E5" s="88" t="s">
        <v>13</v>
      </c>
      <c r="F5" s="88"/>
      <c r="G5" s="88" t="s">
        <v>8</v>
      </c>
      <c r="H5" s="88"/>
      <c r="I5" s="88" t="s">
        <v>7</v>
      </c>
      <c r="J5" s="89"/>
    </row>
    <row r="6" spans="1:52" ht="32.25" customHeight="1">
      <c r="A6" s="83"/>
      <c r="B6" s="85"/>
      <c r="C6" s="87"/>
      <c r="D6" s="85"/>
      <c r="E6" s="38" t="s">
        <v>2</v>
      </c>
      <c r="F6" s="39" t="s">
        <v>6</v>
      </c>
      <c r="G6" s="39" t="s">
        <v>2</v>
      </c>
      <c r="H6" s="39" t="s">
        <v>6</v>
      </c>
      <c r="I6" s="39" t="s">
        <v>2</v>
      </c>
      <c r="J6" s="40" t="s">
        <v>6</v>
      </c>
    </row>
    <row r="7" spans="1:52" ht="15.9" customHeight="1">
      <c r="A7" s="41"/>
      <c r="B7" s="42"/>
      <c r="C7" s="42"/>
      <c r="D7" s="42" t="s">
        <v>12</v>
      </c>
      <c r="E7" s="43"/>
      <c r="F7" s="44"/>
      <c r="G7" s="43"/>
      <c r="H7" s="44"/>
      <c r="I7" s="43">
        <v>53046.27</v>
      </c>
      <c r="J7" s="45">
        <v>136599316</v>
      </c>
    </row>
    <row r="8" spans="1:52" ht="15.9" customHeight="1">
      <c r="A8" s="41"/>
      <c r="B8" s="42"/>
      <c r="C8" s="42"/>
      <c r="D8" s="42" t="s">
        <v>16</v>
      </c>
      <c r="E8" s="43">
        <v>0</v>
      </c>
      <c r="F8" s="44">
        <v>0</v>
      </c>
      <c r="G8" s="43"/>
      <c r="H8" s="44"/>
      <c r="I8" s="43"/>
      <c r="J8" s="45"/>
    </row>
    <row r="9" spans="1:52" ht="15.9" customHeight="1">
      <c r="A9" s="41"/>
      <c r="B9" s="42"/>
      <c r="C9" s="42"/>
      <c r="D9" s="42" t="s">
        <v>2057</v>
      </c>
      <c r="E9" s="43"/>
      <c r="F9" s="44">
        <v>50000000</v>
      </c>
      <c r="G9" s="43"/>
      <c r="H9" s="44"/>
      <c r="I9" s="43"/>
      <c r="J9" s="45"/>
    </row>
    <row r="10" spans="1:52" ht="15.9" customHeight="1">
      <c r="A10" s="41">
        <v>1</v>
      </c>
      <c r="B10" s="46">
        <v>46047</v>
      </c>
      <c r="C10" s="42" t="s">
        <v>1620</v>
      </c>
      <c r="D10" s="42" t="s">
        <v>1621</v>
      </c>
      <c r="E10" s="43"/>
      <c r="F10" s="44"/>
      <c r="G10" s="43">
        <v>700</v>
      </c>
      <c r="H10" s="44"/>
      <c r="I10" s="43"/>
      <c r="J10" s="45"/>
    </row>
    <row r="11" spans="1:52" ht="15.9" customHeight="1">
      <c r="A11" s="41">
        <v>2</v>
      </c>
      <c r="B11" s="46">
        <v>46047</v>
      </c>
      <c r="C11" s="42" t="s">
        <v>1622</v>
      </c>
      <c r="D11" s="42" t="s">
        <v>1623</v>
      </c>
      <c r="E11" s="43"/>
      <c r="F11" s="44"/>
      <c r="G11" s="43">
        <v>569.70000000000005</v>
      </c>
      <c r="H11" s="44"/>
      <c r="I11" s="43"/>
      <c r="J11" s="45"/>
      <c r="AX11" s="5" t="s">
        <v>3</v>
      </c>
    </row>
    <row r="12" spans="1:52" ht="15.9" customHeight="1">
      <c r="A12" s="41">
        <v>3</v>
      </c>
      <c r="B12" s="46">
        <v>46047</v>
      </c>
      <c r="C12" s="42" t="s">
        <v>1624</v>
      </c>
      <c r="D12" s="42" t="s">
        <v>1625</v>
      </c>
      <c r="E12" s="43"/>
      <c r="F12" s="44"/>
      <c r="G12" s="43">
        <v>300</v>
      </c>
      <c r="H12" s="44"/>
      <c r="I12" s="43"/>
      <c r="J12" s="45"/>
    </row>
    <row r="13" spans="1:52" ht="12.75" customHeight="1">
      <c r="A13" s="41">
        <v>4</v>
      </c>
      <c r="B13" s="46">
        <v>46047</v>
      </c>
      <c r="C13" s="42" t="s">
        <v>1626</v>
      </c>
      <c r="D13" s="42" t="s">
        <v>1627</v>
      </c>
      <c r="E13" s="43"/>
      <c r="F13" s="44"/>
      <c r="G13" s="43">
        <v>100</v>
      </c>
      <c r="H13" s="44"/>
      <c r="I13" s="43"/>
      <c r="J13" s="45"/>
    </row>
    <row r="14" spans="1:52" ht="12.75" customHeight="1">
      <c r="A14" s="41">
        <v>5</v>
      </c>
      <c r="B14" s="46">
        <v>46047</v>
      </c>
      <c r="C14" s="42" t="s">
        <v>1628</v>
      </c>
      <c r="D14" s="42" t="s">
        <v>1629</v>
      </c>
      <c r="E14" s="43"/>
      <c r="F14" s="44"/>
      <c r="G14" s="43">
        <v>200</v>
      </c>
      <c r="H14" s="44"/>
      <c r="I14" s="43"/>
      <c r="J14" s="45"/>
    </row>
    <row r="15" spans="1:52" ht="12.75" customHeight="1">
      <c r="A15" s="41">
        <v>6</v>
      </c>
      <c r="B15" s="46">
        <v>46047</v>
      </c>
      <c r="C15" s="42" t="s">
        <v>1630</v>
      </c>
      <c r="D15" s="42" t="s">
        <v>1631</v>
      </c>
      <c r="E15" s="43"/>
      <c r="F15" s="44"/>
      <c r="G15" s="43">
        <v>197.35</v>
      </c>
      <c r="H15" s="44"/>
      <c r="I15" s="43"/>
      <c r="J15" s="45"/>
    </row>
    <row r="16" spans="1:52" ht="12.75" customHeight="1">
      <c r="A16" s="41">
        <v>7</v>
      </c>
      <c r="B16" s="46">
        <v>46047</v>
      </c>
      <c r="C16" s="42" t="s">
        <v>1632</v>
      </c>
      <c r="D16" s="42" t="s">
        <v>1633</v>
      </c>
      <c r="E16" s="43"/>
      <c r="F16" s="44"/>
      <c r="G16" s="43">
        <v>200</v>
      </c>
      <c r="H16" s="44"/>
      <c r="I16" s="43"/>
      <c r="J16" s="45"/>
    </row>
    <row r="17" spans="1:10" ht="23.6">
      <c r="A17" s="41">
        <v>8</v>
      </c>
      <c r="B17" s="46">
        <v>46047</v>
      </c>
      <c r="C17" s="42" t="s">
        <v>1634</v>
      </c>
      <c r="D17" s="53" t="s">
        <v>2060</v>
      </c>
      <c r="E17" s="43"/>
      <c r="F17" s="44"/>
      <c r="G17" s="43">
        <v>2000</v>
      </c>
      <c r="H17" s="44"/>
      <c r="I17" s="43"/>
      <c r="J17" s="45"/>
    </row>
    <row r="18" spans="1:10">
      <c r="A18" s="41">
        <v>9</v>
      </c>
      <c r="B18" s="46">
        <v>46047</v>
      </c>
      <c r="C18" s="42" t="s">
        <v>1635</v>
      </c>
      <c r="D18" s="42" t="s">
        <v>1636</v>
      </c>
      <c r="E18" s="43"/>
      <c r="F18" s="44"/>
      <c r="G18" s="43">
        <v>338.42</v>
      </c>
      <c r="H18" s="44"/>
      <c r="I18" s="43"/>
      <c r="J18" s="45"/>
    </row>
    <row r="19" spans="1:10">
      <c r="A19" s="41">
        <v>10</v>
      </c>
      <c r="B19" s="46">
        <v>46047</v>
      </c>
      <c r="C19" s="42" t="s">
        <v>1637</v>
      </c>
      <c r="D19" s="42" t="s">
        <v>1638</v>
      </c>
      <c r="E19" s="43"/>
      <c r="F19" s="44"/>
      <c r="G19" s="43">
        <v>1500</v>
      </c>
      <c r="H19" s="44"/>
      <c r="I19" s="43"/>
      <c r="J19" s="45"/>
    </row>
    <row r="20" spans="1:10">
      <c r="A20" s="41">
        <v>11</v>
      </c>
      <c r="B20" s="46">
        <v>46047</v>
      </c>
      <c r="C20" s="42" t="s">
        <v>1639</v>
      </c>
      <c r="D20" s="42" t="s">
        <v>1640</v>
      </c>
      <c r="E20" s="43"/>
      <c r="F20" s="44"/>
      <c r="G20" s="43">
        <v>1000</v>
      </c>
      <c r="H20" s="44"/>
      <c r="I20" s="43"/>
      <c r="J20" s="45"/>
    </row>
    <row r="21" spans="1:10">
      <c r="A21" s="41">
        <v>12</v>
      </c>
      <c r="B21" s="46">
        <v>46047</v>
      </c>
      <c r="C21" s="42" t="s">
        <v>1641</v>
      </c>
      <c r="D21" s="42" t="s">
        <v>1642</v>
      </c>
      <c r="E21" s="43"/>
      <c r="F21" s="44"/>
      <c r="G21" s="43">
        <v>803.75</v>
      </c>
      <c r="H21" s="44"/>
      <c r="I21" s="43"/>
      <c r="J21" s="45"/>
    </row>
    <row r="22" spans="1:10">
      <c r="A22" s="41">
        <v>13</v>
      </c>
      <c r="B22" s="46">
        <v>46047</v>
      </c>
      <c r="C22" s="42" t="s">
        <v>1643</v>
      </c>
      <c r="D22" s="42" t="s">
        <v>1644</v>
      </c>
      <c r="E22" s="43"/>
      <c r="F22" s="44"/>
      <c r="G22" s="43">
        <v>21.88</v>
      </c>
      <c r="H22" s="44"/>
      <c r="I22" s="43"/>
      <c r="J22" s="45"/>
    </row>
    <row r="23" spans="1:10">
      <c r="A23" s="41">
        <v>14</v>
      </c>
      <c r="B23" s="46">
        <v>46047</v>
      </c>
      <c r="C23" s="42" t="s">
        <v>1645</v>
      </c>
      <c r="D23" s="42" t="s">
        <v>1510</v>
      </c>
      <c r="E23" s="43"/>
      <c r="F23" s="44"/>
      <c r="G23" s="43">
        <v>3328.59</v>
      </c>
      <c r="H23" s="44"/>
      <c r="I23" s="43"/>
      <c r="J23" s="45"/>
    </row>
    <row r="24" spans="1:10">
      <c r="A24" s="41">
        <v>15</v>
      </c>
      <c r="B24" s="46">
        <v>46047</v>
      </c>
      <c r="C24" s="42" t="s">
        <v>1646</v>
      </c>
      <c r="D24" s="42" t="s">
        <v>1647</v>
      </c>
      <c r="E24" s="43"/>
      <c r="F24" s="44"/>
      <c r="G24" s="43">
        <v>200</v>
      </c>
      <c r="H24" s="44"/>
      <c r="I24" s="43"/>
      <c r="J24" s="45"/>
    </row>
    <row r="25" spans="1:10">
      <c r="A25" s="41">
        <v>16</v>
      </c>
      <c r="B25" s="46">
        <v>46047</v>
      </c>
      <c r="C25" s="42" t="s">
        <v>1648</v>
      </c>
      <c r="D25" s="42" t="s">
        <v>1649</v>
      </c>
      <c r="E25" s="43"/>
      <c r="F25" s="44"/>
      <c r="G25" s="43">
        <v>272.75</v>
      </c>
      <c r="H25" s="44"/>
      <c r="I25" s="43"/>
      <c r="J25" s="45"/>
    </row>
    <row r="26" spans="1:10">
      <c r="A26" s="41">
        <v>17</v>
      </c>
      <c r="B26" s="46">
        <v>46047</v>
      </c>
      <c r="C26" s="42" t="s">
        <v>1650</v>
      </c>
      <c r="D26" s="42" t="s">
        <v>1651</v>
      </c>
      <c r="E26" s="43"/>
      <c r="F26" s="44"/>
      <c r="G26" s="43"/>
      <c r="H26" s="44">
        <v>54271000</v>
      </c>
      <c r="I26" s="43"/>
      <c r="J26" s="45"/>
    </row>
    <row r="27" spans="1:10">
      <c r="A27" s="41">
        <v>18</v>
      </c>
      <c r="B27" s="46">
        <v>46047</v>
      </c>
      <c r="C27" s="42" t="s">
        <v>1652</v>
      </c>
      <c r="D27" s="42" t="s">
        <v>1653</v>
      </c>
      <c r="E27" s="43"/>
      <c r="F27" s="44"/>
      <c r="G27" s="43"/>
      <c r="H27" s="44">
        <v>2665000</v>
      </c>
      <c r="I27" s="43"/>
      <c r="J27" s="45"/>
    </row>
    <row r="28" spans="1:10">
      <c r="A28" s="41">
        <v>19</v>
      </c>
      <c r="B28" s="46">
        <v>46047</v>
      </c>
      <c r="C28" s="42" t="s">
        <v>1654</v>
      </c>
      <c r="D28" s="42" t="s">
        <v>1179</v>
      </c>
      <c r="E28" s="43"/>
      <c r="F28" s="44"/>
      <c r="G28" s="43"/>
      <c r="H28" s="44">
        <v>639000</v>
      </c>
      <c r="I28" s="43"/>
      <c r="J28" s="45"/>
    </row>
    <row r="29" spans="1:10">
      <c r="A29" s="41">
        <v>20</v>
      </c>
      <c r="B29" s="46">
        <v>46047</v>
      </c>
      <c r="C29" s="42" t="s">
        <v>1655</v>
      </c>
      <c r="D29" s="42" t="s">
        <v>1656</v>
      </c>
      <c r="E29" s="43"/>
      <c r="F29" s="44"/>
      <c r="G29" s="43"/>
      <c r="H29" s="44">
        <v>17574000</v>
      </c>
      <c r="I29" s="43"/>
      <c r="J29" s="45"/>
    </row>
    <row r="30" spans="1:10" s="9" customFormat="1" ht="12.45">
      <c r="A30" s="41">
        <v>21</v>
      </c>
      <c r="B30" s="46">
        <v>46047</v>
      </c>
      <c r="C30" s="42" t="s">
        <v>1657</v>
      </c>
      <c r="D30" s="42" t="s">
        <v>1658</v>
      </c>
      <c r="E30" s="43"/>
      <c r="F30" s="44"/>
      <c r="G30" s="43"/>
      <c r="H30" s="44">
        <v>3936000</v>
      </c>
      <c r="I30" s="43"/>
      <c r="J30" s="45"/>
    </row>
    <row r="31" spans="1:10">
      <c r="A31" s="41">
        <v>22</v>
      </c>
      <c r="B31" s="46">
        <v>46047</v>
      </c>
      <c r="C31" s="42" t="s">
        <v>1659</v>
      </c>
      <c r="D31" s="42" t="s">
        <v>1660</v>
      </c>
      <c r="E31" s="43"/>
      <c r="F31" s="44"/>
      <c r="G31" s="43"/>
      <c r="H31" s="44">
        <v>52492000</v>
      </c>
      <c r="I31" s="43"/>
      <c r="J31" s="45"/>
    </row>
    <row r="32" spans="1:10" ht="23.6">
      <c r="A32" s="41">
        <v>23</v>
      </c>
      <c r="B32" s="46">
        <v>46047</v>
      </c>
      <c r="C32" s="42" t="s">
        <v>1661</v>
      </c>
      <c r="D32" s="53" t="s">
        <v>2059</v>
      </c>
      <c r="E32" s="43"/>
      <c r="F32" s="44"/>
      <c r="G32" s="43"/>
      <c r="H32" s="44">
        <v>679000</v>
      </c>
      <c r="I32" s="43"/>
      <c r="J32" s="45"/>
    </row>
    <row r="33" spans="1:10">
      <c r="A33" s="41">
        <v>24</v>
      </c>
      <c r="B33" s="46">
        <v>46047</v>
      </c>
      <c r="C33" s="42" t="s">
        <v>1662</v>
      </c>
      <c r="D33" s="42" t="s">
        <v>1663</v>
      </c>
      <c r="E33" s="43"/>
      <c r="F33" s="44"/>
      <c r="G33" s="43"/>
      <c r="H33" s="44">
        <v>6302000</v>
      </c>
      <c r="I33" s="43"/>
      <c r="J33" s="45"/>
    </row>
    <row r="34" spans="1:10">
      <c r="A34" s="41">
        <v>25</v>
      </c>
      <c r="B34" s="46">
        <v>46047</v>
      </c>
      <c r="C34" s="42" t="s">
        <v>1664</v>
      </c>
      <c r="D34" s="42" t="s">
        <v>1665</v>
      </c>
      <c r="E34" s="43"/>
      <c r="F34" s="44"/>
      <c r="G34" s="43"/>
      <c r="H34" s="44">
        <v>3473000</v>
      </c>
      <c r="I34" s="43"/>
      <c r="J34" s="45"/>
    </row>
    <row r="35" spans="1:10">
      <c r="A35" s="41">
        <v>26</v>
      </c>
      <c r="B35" s="46">
        <v>46047</v>
      </c>
      <c r="C35" s="42" t="s">
        <v>1666</v>
      </c>
      <c r="D35" s="42" t="s">
        <v>1667</v>
      </c>
      <c r="E35" s="43"/>
      <c r="F35" s="44"/>
      <c r="G35" s="43"/>
      <c r="H35" s="44">
        <v>6000000</v>
      </c>
      <c r="I35" s="43"/>
      <c r="J35" s="45"/>
    </row>
    <row r="36" spans="1:10" s="9" customFormat="1" thickBot="1">
      <c r="A36" s="47"/>
      <c r="B36" s="48"/>
      <c r="C36" s="48"/>
      <c r="D36" s="48" t="s">
        <v>4</v>
      </c>
      <c r="E36" s="50"/>
      <c r="F36" s="49"/>
      <c r="G36" s="50">
        <v>11732.44</v>
      </c>
      <c r="H36" s="49">
        <v>148031000</v>
      </c>
      <c r="I36" s="50">
        <v>41313.83</v>
      </c>
      <c r="J36" s="51">
        <f>J7+F9-H36</f>
        <v>38568316</v>
      </c>
    </row>
    <row r="38" spans="1:10">
      <c r="H38" s="10" t="s">
        <v>14</v>
      </c>
    </row>
    <row r="39" spans="1:10">
      <c r="H39" s="11" t="s">
        <v>15</v>
      </c>
    </row>
    <row r="90" spans="52:52">
      <c r="AZ90" s="1" t="s">
        <v>5</v>
      </c>
    </row>
  </sheetData>
  <mergeCells count="9">
    <mergeCell ref="A1:E2"/>
    <mergeCell ref="A3:J4"/>
    <mergeCell ref="A5:A6"/>
    <mergeCell ref="B5:B6"/>
    <mergeCell ref="C5:C6"/>
    <mergeCell ref="D5:D6"/>
    <mergeCell ref="E5:F5"/>
    <mergeCell ref="G5:H5"/>
    <mergeCell ref="I5:J5"/>
  </mergeCells>
  <pageMargins left="0.5" right="0" top="0.5" bottom="0.5" header="0" footer="0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83369-9BB1-4382-8074-0DE222C8A000}">
  <sheetPr>
    <tabColor rgb="FFFFFF00"/>
  </sheetPr>
  <dimension ref="A1:AZ90"/>
  <sheetViews>
    <sheetView topLeftCell="A13" zoomScale="70" zoomScaleNormal="70" workbookViewId="0">
      <selection activeCell="M44" sqref="M44"/>
    </sheetView>
  </sheetViews>
  <sheetFormatPr defaultColWidth="9.15234375" defaultRowHeight="12.9"/>
  <cols>
    <col min="1" max="1" width="4.23046875" style="1" bestFit="1" customWidth="1"/>
    <col min="2" max="2" width="6.84375" style="1" bestFit="1" customWidth="1"/>
    <col min="3" max="3" width="10.23046875" style="6" bestFit="1" customWidth="1"/>
    <col min="4" max="4" width="18.4609375" style="1" customWidth="1"/>
    <col min="5" max="5" width="8.4609375" style="7" bestFit="1" customWidth="1"/>
    <col min="6" max="6" width="10.15234375" style="1" bestFit="1" customWidth="1"/>
    <col min="7" max="7" width="8.84375" style="1" bestFit="1" customWidth="1"/>
    <col min="8" max="8" width="10.61328125" style="1" bestFit="1" customWidth="1"/>
    <col min="9" max="9" width="8.84375" style="1" bestFit="1" customWidth="1"/>
    <col min="10" max="10" width="10.61328125" style="1" bestFit="1" customWidth="1"/>
    <col min="11" max="16384" width="9.15234375" style="1"/>
  </cols>
  <sheetData>
    <row r="1" spans="1:52" ht="28.3" customHeight="1">
      <c r="A1" s="79" t="s">
        <v>17</v>
      </c>
      <c r="B1" s="80"/>
      <c r="C1" s="80"/>
      <c r="D1" s="80"/>
      <c r="E1" s="80"/>
    </row>
    <row r="2" spans="1:52" ht="28.3" customHeight="1">
      <c r="A2" s="80"/>
      <c r="B2" s="80"/>
      <c r="C2" s="80"/>
      <c r="D2" s="80"/>
      <c r="E2" s="80"/>
    </row>
    <row r="3" spans="1:52">
      <c r="A3" s="81" t="s">
        <v>11</v>
      </c>
      <c r="B3" s="81"/>
      <c r="C3" s="81"/>
      <c r="D3" s="81"/>
      <c r="E3" s="81"/>
      <c r="F3" s="81"/>
      <c r="G3" s="81"/>
      <c r="H3" s="81"/>
      <c r="I3" s="81"/>
      <c r="J3" s="81"/>
      <c r="AS3" s="2">
        <v>43921</v>
      </c>
      <c r="AZ3" s="1">
        <f>(AQ3-4)*20000</f>
        <v>-80000</v>
      </c>
    </row>
    <row r="4" spans="1:52" ht="13.3" thickBot="1">
      <c r="A4" s="81"/>
      <c r="B4" s="81"/>
      <c r="C4" s="81"/>
      <c r="D4" s="81"/>
      <c r="E4" s="81"/>
      <c r="F4" s="81"/>
      <c r="G4" s="81"/>
      <c r="H4" s="81"/>
      <c r="I4" s="81"/>
      <c r="J4" s="81"/>
    </row>
    <row r="5" spans="1:52">
      <c r="A5" s="82" t="s">
        <v>0</v>
      </c>
      <c r="B5" s="84" t="s">
        <v>9</v>
      </c>
      <c r="C5" s="86" t="s">
        <v>1</v>
      </c>
      <c r="D5" s="84" t="s">
        <v>10</v>
      </c>
      <c r="E5" s="88" t="s">
        <v>13</v>
      </c>
      <c r="F5" s="88"/>
      <c r="G5" s="88" t="s">
        <v>8</v>
      </c>
      <c r="H5" s="88"/>
      <c r="I5" s="88" t="s">
        <v>7</v>
      </c>
      <c r="J5" s="89"/>
    </row>
    <row r="6" spans="1:52">
      <c r="A6" s="83"/>
      <c r="B6" s="85"/>
      <c r="C6" s="87"/>
      <c r="D6" s="85"/>
      <c r="E6" s="38" t="s">
        <v>2</v>
      </c>
      <c r="F6" s="39" t="s">
        <v>6</v>
      </c>
      <c r="G6" s="39" t="s">
        <v>2</v>
      </c>
      <c r="H6" s="39" t="s">
        <v>6</v>
      </c>
      <c r="I6" s="39" t="s">
        <v>2</v>
      </c>
      <c r="J6" s="40" t="s">
        <v>6</v>
      </c>
    </row>
    <row r="7" spans="1:52">
      <c r="A7" s="41"/>
      <c r="B7" s="42"/>
      <c r="C7" s="42"/>
      <c r="D7" s="62" t="s">
        <v>12</v>
      </c>
      <c r="E7" s="43"/>
      <c r="F7" s="44"/>
      <c r="G7" s="43"/>
      <c r="H7" s="44"/>
      <c r="I7" s="43">
        <v>41313.83</v>
      </c>
      <c r="J7" s="45">
        <v>38568316</v>
      </c>
    </row>
    <row r="8" spans="1:52">
      <c r="A8" s="41"/>
      <c r="B8" s="42"/>
      <c r="C8" s="42"/>
      <c r="D8" s="62" t="s">
        <v>16</v>
      </c>
      <c r="E8" s="43">
        <v>48377</v>
      </c>
      <c r="F8" s="44">
        <f>311675000+10648+13552+19844</f>
        <v>311719044</v>
      </c>
      <c r="G8" s="43"/>
      <c r="H8" s="44"/>
      <c r="I8" s="43"/>
      <c r="J8" s="45"/>
    </row>
    <row r="9" spans="1:52">
      <c r="A9" s="41"/>
      <c r="B9" s="42"/>
      <c r="C9" s="42"/>
      <c r="D9" s="62" t="s">
        <v>2061</v>
      </c>
      <c r="E9" s="43"/>
      <c r="F9" s="44"/>
      <c r="G9" s="43"/>
      <c r="H9" s="44">
        <v>50000000</v>
      </c>
      <c r="I9" s="43"/>
      <c r="J9" s="45"/>
    </row>
    <row r="10" spans="1:52">
      <c r="A10" s="41">
        <v>1</v>
      </c>
      <c r="B10" s="46">
        <v>46048</v>
      </c>
      <c r="C10" s="42" t="s">
        <v>1668</v>
      </c>
      <c r="D10" s="62" t="s">
        <v>1669</v>
      </c>
      <c r="E10" s="43"/>
      <c r="F10" s="44"/>
      <c r="G10" s="43">
        <v>100</v>
      </c>
      <c r="H10" s="44"/>
      <c r="I10" s="43"/>
      <c r="J10" s="45"/>
    </row>
    <row r="11" spans="1:52">
      <c r="A11" s="41">
        <v>2</v>
      </c>
      <c r="B11" s="46">
        <v>46048</v>
      </c>
      <c r="C11" s="42" t="s">
        <v>1670</v>
      </c>
      <c r="D11" s="62" t="s">
        <v>823</v>
      </c>
      <c r="E11" s="43"/>
      <c r="F11" s="44"/>
      <c r="G11" s="43">
        <v>300</v>
      </c>
      <c r="H11" s="44"/>
      <c r="I11" s="43"/>
      <c r="J11" s="45"/>
      <c r="AX11" s="5" t="s">
        <v>3</v>
      </c>
    </row>
    <row r="12" spans="1:52">
      <c r="A12" s="41">
        <v>3</v>
      </c>
      <c r="B12" s="46">
        <v>46048</v>
      </c>
      <c r="C12" s="42" t="s">
        <v>1671</v>
      </c>
      <c r="D12" s="62" t="s">
        <v>1672</v>
      </c>
      <c r="E12" s="43"/>
      <c r="F12" s="44"/>
      <c r="G12" s="43">
        <v>50</v>
      </c>
      <c r="H12" s="44"/>
      <c r="I12" s="43"/>
      <c r="J12" s="45"/>
    </row>
    <row r="13" spans="1:52">
      <c r="A13" s="41">
        <v>4</v>
      </c>
      <c r="B13" s="46">
        <v>46048</v>
      </c>
      <c r="C13" s="42" t="s">
        <v>1673</v>
      </c>
      <c r="D13" s="62" t="s">
        <v>1674</v>
      </c>
      <c r="E13" s="43"/>
      <c r="F13" s="44"/>
      <c r="G13" s="43">
        <v>900</v>
      </c>
      <c r="H13" s="44"/>
      <c r="I13" s="43"/>
      <c r="J13" s="45"/>
    </row>
    <row r="14" spans="1:52">
      <c r="A14" s="41">
        <v>5</v>
      </c>
      <c r="B14" s="46">
        <v>46048</v>
      </c>
      <c r="C14" s="42" t="s">
        <v>1675</v>
      </c>
      <c r="D14" s="62" t="s">
        <v>1631</v>
      </c>
      <c r="E14" s="43"/>
      <c r="F14" s="44"/>
      <c r="G14" s="43">
        <v>1146.3699999999999</v>
      </c>
      <c r="H14" s="44"/>
      <c r="I14" s="43"/>
      <c r="J14" s="45"/>
    </row>
    <row r="15" spans="1:52">
      <c r="A15" s="41">
        <v>6</v>
      </c>
      <c r="B15" s="46">
        <v>46048</v>
      </c>
      <c r="C15" s="42" t="s">
        <v>1676</v>
      </c>
      <c r="D15" s="62" t="s">
        <v>1146</v>
      </c>
      <c r="E15" s="43"/>
      <c r="F15" s="44"/>
      <c r="G15" s="43">
        <v>2500</v>
      </c>
      <c r="H15" s="44"/>
      <c r="I15" s="43"/>
      <c r="J15" s="45"/>
    </row>
    <row r="16" spans="1:52">
      <c r="A16" s="41">
        <v>7</v>
      </c>
      <c r="B16" s="46">
        <v>46048</v>
      </c>
      <c r="C16" s="42" t="s">
        <v>1677</v>
      </c>
      <c r="D16" s="62" t="s">
        <v>1142</v>
      </c>
      <c r="E16" s="43"/>
      <c r="F16" s="44"/>
      <c r="G16" s="43">
        <v>3000</v>
      </c>
      <c r="H16" s="44"/>
      <c r="I16" s="43"/>
      <c r="J16" s="45"/>
    </row>
    <row r="17" spans="1:10">
      <c r="A17" s="41">
        <v>8</v>
      </c>
      <c r="B17" s="46">
        <v>46048</v>
      </c>
      <c r="C17" s="42" t="s">
        <v>1678</v>
      </c>
      <c r="D17" s="62" t="s">
        <v>1153</v>
      </c>
      <c r="E17" s="43"/>
      <c r="F17" s="44"/>
      <c r="G17" s="43">
        <v>1000</v>
      </c>
      <c r="H17" s="44"/>
      <c r="I17" s="43"/>
      <c r="J17" s="45"/>
    </row>
    <row r="18" spans="1:10">
      <c r="A18" s="41">
        <v>9</v>
      </c>
      <c r="B18" s="46">
        <v>46048</v>
      </c>
      <c r="C18" s="42" t="s">
        <v>1679</v>
      </c>
      <c r="D18" s="62" t="s">
        <v>1680</v>
      </c>
      <c r="E18" s="43"/>
      <c r="F18" s="44"/>
      <c r="G18" s="43">
        <v>2500</v>
      </c>
      <c r="H18" s="44"/>
      <c r="I18" s="43"/>
      <c r="J18" s="45"/>
    </row>
    <row r="19" spans="1:10">
      <c r="A19" s="41">
        <v>10</v>
      </c>
      <c r="B19" s="46">
        <v>46048</v>
      </c>
      <c r="C19" s="42" t="s">
        <v>1681</v>
      </c>
      <c r="D19" s="62" t="s">
        <v>1682</v>
      </c>
      <c r="E19" s="43"/>
      <c r="F19" s="44"/>
      <c r="G19" s="43">
        <v>1200</v>
      </c>
      <c r="H19" s="44"/>
      <c r="I19" s="43"/>
      <c r="J19" s="45"/>
    </row>
    <row r="20" spans="1:10">
      <c r="A20" s="41">
        <v>11</v>
      </c>
      <c r="B20" s="46">
        <v>46048</v>
      </c>
      <c r="C20" s="42" t="s">
        <v>1683</v>
      </c>
      <c r="D20" s="62" t="s">
        <v>1684</v>
      </c>
      <c r="E20" s="43"/>
      <c r="F20" s="44"/>
      <c r="G20" s="43">
        <v>900</v>
      </c>
      <c r="H20" s="44"/>
      <c r="I20" s="43"/>
      <c r="J20" s="45"/>
    </row>
    <row r="21" spans="1:10">
      <c r="A21" s="41">
        <v>12</v>
      </c>
      <c r="B21" s="46">
        <v>46048</v>
      </c>
      <c r="C21" s="42" t="s">
        <v>1685</v>
      </c>
      <c r="D21" s="62" t="s">
        <v>1686</v>
      </c>
      <c r="E21" s="43"/>
      <c r="F21" s="44"/>
      <c r="G21" s="43">
        <v>141.72999999999999</v>
      </c>
      <c r="H21" s="44"/>
      <c r="I21" s="43"/>
      <c r="J21" s="45"/>
    </row>
    <row r="22" spans="1:10">
      <c r="A22" s="41">
        <v>13</v>
      </c>
      <c r="B22" s="46">
        <v>46048</v>
      </c>
      <c r="C22" s="42" t="s">
        <v>1687</v>
      </c>
      <c r="D22" s="62" t="s">
        <v>1688</v>
      </c>
      <c r="E22" s="43"/>
      <c r="F22" s="44"/>
      <c r="G22" s="43">
        <v>382.7</v>
      </c>
      <c r="H22" s="44"/>
      <c r="I22" s="43"/>
      <c r="J22" s="45"/>
    </row>
    <row r="23" spans="1:10">
      <c r="A23" s="41">
        <v>14</v>
      </c>
      <c r="B23" s="46">
        <v>46048</v>
      </c>
      <c r="C23" s="42" t="s">
        <v>1689</v>
      </c>
      <c r="D23" s="62" t="s">
        <v>1690</v>
      </c>
      <c r="E23" s="43"/>
      <c r="F23" s="44"/>
      <c r="G23" s="43">
        <v>1100</v>
      </c>
      <c r="H23" s="44"/>
      <c r="I23" s="43"/>
      <c r="J23" s="45"/>
    </row>
    <row r="24" spans="1:10">
      <c r="A24" s="41">
        <v>15</v>
      </c>
      <c r="B24" s="46">
        <v>46048</v>
      </c>
      <c r="C24" s="42" t="s">
        <v>1691</v>
      </c>
      <c r="D24" s="62" t="s">
        <v>1233</v>
      </c>
      <c r="E24" s="43"/>
      <c r="F24" s="44"/>
      <c r="G24" s="43">
        <v>400</v>
      </c>
      <c r="H24" s="44"/>
      <c r="I24" s="43"/>
      <c r="J24" s="45"/>
    </row>
    <row r="25" spans="1:10">
      <c r="A25" s="41">
        <v>16</v>
      </c>
      <c r="B25" s="46">
        <v>46048</v>
      </c>
      <c r="C25" s="42" t="s">
        <v>1692</v>
      </c>
      <c r="D25" s="62" t="s">
        <v>287</v>
      </c>
      <c r="E25" s="43"/>
      <c r="F25" s="44"/>
      <c r="G25" s="43">
        <v>100.8</v>
      </c>
      <c r="H25" s="44"/>
      <c r="I25" s="43"/>
      <c r="J25" s="45"/>
    </row>
    <row r="26" spans="1:10">
      <c r="A26" s="41">
        <v>17</v>
      </c>
      <c r="B26" s="46">
        <v>46048</v>
      </c>
      <c r="C26" s="42" t="s">
        <v>1693</v>
      </c>
      <c r="D26" s="62" t="s">
        <v>1694</v>
      </c>
      <c r="E26" s="43"/>
      <c r="F26" s="44"/>
      <c r="G26" s="43">
        <v>999</v>
      </c>
      <c r="H26" s="44"/>
      <c r="I26" s="43"/>
      <c r="J26" s="45"/>
    </row>
    <row r="27" spans="1:10">
      <c r="A27" s="41">
        <v>18</v>
      </c>
      <c r="B27" s="46">
        <v>46048</v>
      </c>
      <c r="C27" s="42" t="s">
        <v>1695</v>
      </c>
      <c r="D27" s="62" t="s">
        <v>1696</v>
      </c>
      <c r="E27" s="43"/>
      <c r="F27" s="44"/>
      <c r="G27" s="43">
        <v>2900</v>
      </c>
      <c r="H27" s="44"/>
      <c r="I27" s="43"/>
      <c r="J27" s="45"/>
    </row>
    <row r="28" spans="1:10">
      <c r="A28" s="41">
        <v>19</v>
      </c>
      <c r="B28" s="46">
        <v>46048</v>
      </c>
      <c r="C28" s="42" t="s">
        <v>1697</v>
      </c>
      <c r="D28" s="62" t="s">
        <v>1698</v>
      </c>
      <c r="E28" s="43"/>
      <c r="F28" s="44"/>
      <c r="G28" s="43">
        <v>500</v>
      </c>
      <c r="H28" s="44"/>
      <c r="I28" s="43"/>
      <c r="J28" s="45"/>
    </row>
    <row r="29" spans="1:10">
      <c r="A29" s="41">
        <v>20</v>
      </c>
      <c r="B29" s="46">
        <v>46048</v>
      </c>
      <c r="C29" s="42" t="s">
        <v>1699</v>
      </c>
      <c r="D29" s="62" t="s">
        <v>1700</v>
      </c>
      <c r="E29" s="43"/>
      <c r="F29" s="44"/>
      <c r="G29" s="43">
        <v>3200</v>
      </c>
      <c r="H29" s="44"/>
      <c r="I29" s="43"/>
      <c r="J29" s="45"/>
    </row>
    <row r="30" spans="1:10" s="9" customFormat="1" ht="12.45">
      <c r="A30" s="41">
        <v>21</v>
      </c>
      <c r="B30" s="46">
        <v>46048</v>
      </c>
      <c r="C30" s="42" t="s">
        <v>1701</v>
      </c>
      <c r="D30" s="62" t="s">
        <v>1702</v>
      </c>
      <c r="E30" s="43"/>
      <c r="F30" s="44"/>
      <c r="G30" s="43">
        <v>2200</v>
      </c>
      <c r="H30" s="44"/>
      <c r="I30" s="43"/>
      <c r="J30" s="45"/>
    </row>
    <row r="31" spans="1:10">
      <c r="A31" s="41">
        <v>22</v>
      </c>
      <c r="B31" s="46">
        <v>46048</v>
      </c>
      <c r="C31" s="42" t="s">
        <v>1703</v>
      </c>
      <c r="D31" s="62" t="s">
        <v>555</v>
      </c>
      <c r="E31" s="43"/>
      <c r="F31" s="44"/>
      <c r="G31" s="43">
        <v>500</v>
      </c>
      <c r="H31" s="44"/>
      <c r="I31" s="43"/>
      <c r="J31" s="45"/>
    </row>
    <row r="32" spans="1:10">
      <c r="A32" s="41">
        <v>23</v>
      </c>
      <c r="B32" s="46">
        <v>46048</v>
      </c>
      <c r="C32" s="42" t="s">
        <v>1704</v>
      </c>
      <c r="D32" s="62" t="s">
        <v>1705</v>
      </c>
      <c r="E32" s="43"/>
      <c r="F32" s="44"/>
      <c r="G32" s="43">
        <v>3000</v>
      </c>
      <c r="H32" s="44"/>
      <c r="I32" s="43"/>
      <c r="J32" s="45"/>
    </row>
    <row r="33" spans="1:10">
      <c r="A33" s="41">
        <v>24</v>
      </c>
      <c r="B33" s="46">
        <v>46048</v>
      </c>
      <c r="C33" s="42" t="s">
        <v>1706</v>
      </c>
      <c r="D33" s="62" t="s">
        <v>1707</v>
      </c>
      <c r="E33" s="43"/>
      <c r="F33" s="44"/>
      <c r="G33" s="43">
        <v>2000</v>
      </c>
      <c r="H33" s="44"/>
      <c r="I33" s="43"/>
      <c r="J33" s="45"/>
    </row>
    <row r="34" spans="1:10">
      <c r="A34" s="41">
        <v>25</v>
      </c>
      <c r="B34" s="46">
        <v>46048</v>
      </c>
      <c r="C34" s="42" t="s">
        <v>1708</v>
      </c>
      <c r="D34" s="62" t="s">
        <v>1709</v>
      </c>
      <c r="E34" s="43"/>
      <c r="F34" s="44"/>
      <c r="G34" s="43">
        <v>1500</v>
      </c>
      <c r="H34" s="44"/>
      <c r="I34" s="43"/>
      <c r="J34" s="45"/>
    </row>
    <row r="35" spans="1:10">
      <c r="A35" s="41">
        <v>26</v>
      </c>
      <c r="B35" s="46">
        <v>46048</v>
      </c>
      <c r="C35" s="42" t="s">
        <v>1710</v>
      </c>
      <c r="D35" s="62" t="s">
        <v>1711</v>
      </c>
      <c r="E35" s="43"/>
      <c r="F35" s="44"/>
      <c r="G35" s="43">
        <v>1000</v>
      </c>
      <c r="H35" s="44"/>
      <c r="I35" s="43"/>
      <c r="J35" s="45"/>
    </row>
    <row r="36" spans="1:10">
      <c r="A36" s="41">
        <v>27</v>
      </c>
      <c r="B36" s="46">
        <v>46048</v>
      </c>
      <c r="C36" s="42" t="s">
        <v>1712</v>
      </c>
      <c r="D36" s="62" t="s">
        <v>1713</v>
      </c>
      <c r="E36" s="43"/>
      <c r="F36" s="44"/>
      <c r="G36" s="43">
        <v>4000</v>
      </c>
      <c r="H36" s="44"/>
      <c r="I36" s="43"/>
      <c r="J36" s="45"/>
    </row>
    <row r="37" spans="1:10">
      <c r="A37" s="41">
        <v>28</v>
      </c>
      <c r="B37" s="46">
        <v>46048</v>
      </c>
      <c r="C37" s="42" t="s">
        <v>1714</v>
      </c>
      <c r="D37" s="62" t="s">
        <v>1715</v>
      </c>
      <c r="E37" s="43"/>
      <c r="F37" s="44"/>
      <c r="G37" s="43">
        <v>671.18</v>
      </c>
      <c r="H37" s="44"/>
      <c r="I37" s="43"/>
      <c r="J37" s="45"/>
    </row>
    <row r="38" spans="1:10">
      <c r="A38" s="41">
        <v>29</v>
      </c>
      <c r="B38" s="46">
        <v>46048</v>
      </c>
      <c r="C38" s="42" t="s">
        <v>1716</v>
      </c>
      <c r="D38" s="62" t="s">
        <v>1717</v>
      </c>
      <c r="E38" s="43"/>
      <c r="F38" s="44"/>
      <c r="G38" s="43"/>
      <c r="H38" s="44">
        <v>1666000</v>
      </c>
      <c r="I38" s="43"/>
      <c r="J38" s="45"/>
    </row>
    <row r="39" spans="1:10">
      <c r="A39" s="41">
        <v>30</v>
      </c>
      <c r="B39" s="46">
        <v>46048</v>
      </c>
      <c r="C39" s="42" t="s">
        <v>1718</v>
      </c>
      <c r="D39" s="62" t="s">
        <v>1276</v>
      </c>
      <c r="E39" s="43"/>
      <c r="F39" s="44"/>
      <c r="G39" s="43"/>
      <c r="H39" s="44">
        <v>1756000</v>
      </c>
      <c r="I39" s="43"/>
      <c r="J39" s="45"/>
    </row>
    <row r="40" spans="1:10">
      <c r="A40" s="41">
        <v>31</v>
      </c>
      <c r="B40" s="46">
        <v>46048</v>
      </c>
      <c r="C40" s="42" t="s">
        <v>1719</v>
      </c>
      <c r="D40" s="62" t="s">
        <v>1720</v>
      </c>
      <c r="E40" s="43"/>
      <c r="F40" s="44"/>
      <c r="G40" s="43"/>
      <c r="H40" s="44">
        <v>19210000</v>
      </c>
      <c r="I40" s="43"/>
      <c r="J40" s="45"/>
    </row>
    <row r="41" spans="1:10">
      <c r="A41" s="41">
        <v>32</v>
      </c>
      <c r="B41" s="46">
        <v>46048</v>
      </c>
      <c r="C41" s="42" t="s">
        <v>1721</v>
      </c>
      <c r="D41" s="62" t="s">
        <v>1722</v>
      </c>
      <c r="E41" s="43"/>
      <c r="F41" s="44"/>
      <c r="G41" s="43"/>
      <c r="H41" s="44">
        <v>4958000</v>
      </c>
      <c r="I41" s="43"/>
      <c r="J41" s="45"/>
    </row>
    <row r="42" spans="1:10">
      <c r="A42" s="41">
        <v>33</v>
      </c>
      <c r="B42" s="46">
        <v>46048</v>
      </c>
      <c r="C42" s="42" t="s">
        <v>1723</v>
      </c>
      <c r="D42" s="62" t="s">
        <v>1724</v>
      </c>
      <c r="E42" s="43"/>
      <c r="F42" s="44"/>
      <c r="G42" s="43"/>
      <c r="H42" s="44">
        <v>7000000</v>
      </c>
      <c r="I42" s="43"/>
      <c r="J42" s="45"/>
    </row>
    <row r="43" spans="1:10">
      <c r="A43" s="41">
        <v>34</v>
      </c>
      <c r="B43" s="46">
        <v>46048</v>
      </c>
      <c r="C43" s="42" t="s">
        <v>1725</v>
      </c>
      <c r="D43" s="62" t="s">
        <v>1726</v>
      </c>
      <c r="E43" s="43"/>
      <c r="F43" s="44"/>
      <c r="G43" s="43"/>
      <c r="H43" s="44">
        <v>24396000</v>
      </c>
      <c r="I43" s="43"/>
      <c r="J43" s="45"/>
    </row>
    <row r="44" spans="1:10" s="9" customFormat="1" thickBot="1">
      <c r="A44" s="47"/>
      <c r="B44" s="48"/>
      <c r="C44" s="48"/>
      <c r="D44" s="48" t="s">
        <v>4</v>
      </c>
      <c r="E44" s="50"/>
      <c r="F44" s="49"/>
      <c r="G44" s="50">
        <v>38191.78</v>
      </c>
      <c r="H44" s="49">
        <f>50000000+58986000</f>
        <v>108986000</v>
      </c>
      <c r="I44" s="50">
        <v>51499.05</v>
      </c>
      <c r="J44" s="51">
        <f>J7+F8-H44</f>
        <v>241301360</v>
      </c>
    </row>
    <row r="46" spans="1:10">
      <c r="H46" s="10" t="s">
        <v>14</v>
      </c>
    </row>
    <row r="47" spans="1:10">
      <c r="H47" s="11" t="s">
        <v>15</v>
      </c>
    </row>
    <row r="90" spans="52:52">
      <c r="AZ90" s="1" t="s">
        <v>5</v>
      </c>
    </row>
  </sheetData>
  <mergeCells count="9">
    <mergeCell ref="A1:E2"/>
    <mergeCell ref="A3:J4"/>
    <mergeCell ref="A5:A6"/>
    <mergeCell ref="B5:B6"/>
    <mergeCell ref="C5:C6"/>
    <mergeCell ref="D5:D6"/>
    <mergeCell ref="E5:F5"/>
    <mergeCell ref="G5:H5"/>
    <mergeCell ref="I5:J5"/>
  </mergeCells>
  <pageMargins left="0.5" right="0" top="0.5" bottom="0.5" header="0" footer="0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34903-D008-425A-9AED-81BCE3D341E9}">
  <sheetPr>
    <tabColor rgb="FFFFFF00"/>
  </sheetPr>
  <dimension ref="A1:AZ88"/>
  <sheetViews>
    <sheetView topLeftCell="A40" zoomScaleNormal="100" workbookViewId="0">
      <selection activeCell="J50" sqref="J50"/>
    </sheetView>
  </sheetViews>
  <sheetFormatPr defaultColWidth="9.15234375" defaultRowHeight="12.9"/>
  <cols>
    <col min="1" max="1" width="4.23046875" style="1" bestFit="1" customWidth="1"/>
    <col min="2" max="2" width="6.84375" style="1" bestFit="1" customWidth="1"/>
    <col min="3" max="3" width="10.23046875" style="6" bestFit="1" customWidth="1"/>
    <col min="4" max="4" width="21.53515625" style="1" bestFit="1" customWidth="1"/>
    <col min="5" max="5" width="8.4609375" style="7" bestFit="1" customWidth="1"/>
    <col min="6" max="6" width="9.3046875" style="1" bestFit="1" customWidth="1"/>
    <col min="7" max="7" width="8.84375" style="1" bestFit="1" customWidth="1"/>
    <col min="8" max="8" width="9.765625" style="1" bestFit="1" customWidth="1"/>
    <col min="9" max="9" width="8.84375" style="1" bestFit="1" customWidth="1"/>
    <col min="10" max="10" width="10.61328125" style="1" bestFit="1" customWidth="1"/>
    <col min="11" max="16384" width="9.15234375" style="1"/>
  </cols>
  <sheetData>
    <row r="1" spans="1:52" ht="28.3" customHeight="1">
      <c r="A1" s="79" t="s">
        <v>17</v>
      </c>
      <c r="B1" s="80"/>
      <c r="C1" s="80"/>
      <c r="D1" s="80"/>
      <c r="E1" s="80"/>
    </row>
    <row r="2" spans="1:52" ht="28.3" customHeight="1">
      <c r="A2" s="80"/>
      <c r="B2" s="80"/>
      <c r="C2" s="80"/>
      <c r="D2" s="80"/>
      <c r="E2" s="80"/>
    </row>
    <row r="3" spans="1:52">
      <c r="A3" s="81" t="s">
        <v>11</v>
      </c>
      <c r="B3" s="81"/>
      <c r="C3" s="81"/>
      <c r="D3" s="81"/>
      <c r="E3" s="81"/>
      <c r="F3" s="81"/>
      <c r="G3" s="81"/>
      <c r="H3" s="81"/>
      <c r="I3" s="81"/>
      <c r="J3" s="81"/>
      <c r="AS3" s="2">
        <v>43921</v>
      </c>
      <c r="AZ3" s="1">
        <f>(AQ3-4)*20000</f>
        <v>-80000</v>
      </c>
    </row>
    <row r="4" spans="1:52" ht="13.3" thickBot="1">
      <c r="A4" s="81"/>
      <c r="B4" s="81"/>
      <c r="C4" s="81"/>
      <c r="D4" s="81"/>
      <c r="E4" s="81"/>
      <c r="F4" s="81"/>
      <c r="G4" s="81"/>
      <c r="H4" s="81"/>
      <c r="I4" s="81"/>
      <c r="J4" s="81"/>
    </row>
    <row r="5" spans="1:52">
      <c r="A5" s="82" t="s">
        <v>0</v>
      </c>
      <c r="B5" s="84" t="s">
        <v>9</v>
      </c>
      <c r="C5" s="86" t="s">
        <v>1</v>
      </c>
      <c r="D5" s="84" t="s">
        <v>10</v>
      </c>
      <c r="E5" s="88" t="s">
        <v>13</v>
      </c>
      <c r="F5" s="88"/>
      <c r="G5" s="88" t="s">
        <v>8</v>
      </c>
      <c r="H5" s="88"/>
      <c r="I5" s="88" t="s">
        <v>7</v>
      </c>
      <c r="J5" s="89"/>
    </row>
    <row r="6" spans="1:52">
      <c r="A6" s="83"/>
      <c r="B6" s="85"/>
      <c r="C6" s="87"/>
      <c r="D6" s="85"/>
      <c r="E6" s="38" t="s">
        <v>2</v>
      </c>
      <c r="F6" s="39" t="s">
        <v>6</v>
      </c>
      <c r="G6" s="39" t="s">
        <v>2</v>
      </c>
      <c r="H6" s="39" t="s">
        <v>6</v>
      </c>
      <c r="I6" s="39" t="s">
        <v>2</v>
      </c>
      <c r="J6" s="40" t="s">
        <v>6</v>
      </c>
    </row>
    <row r="7" spans="1:52">
      <c r="A7" s="41"/>
      <c r="B7" s="42"/>
      <c r="C7" s="42"/>
      <c r="D7" s="62" t="s">
        <v>12</v>
      </c>
      <c r="E7" s="43"/>
      <c r="F7" s="44"/>
      <c r="G7" s="43"/>
      <c r="H7" s="44"/>
      <c r="I7" s="43">
        <v>51499.05</v>
      </c>
      <c r="J7" s="45">
        <v>241301360</v>
      </c>
    </row>
    <row r="8" spans="1:52">
      <c r="A8" s="41"/>
      <c r="B8" s="42"/>
      <c r="C8" s="42"/>
      <c r="D8" s="62" t="s">
        <v>16</v>
      </c>
      <c r="E8" s="43">
        <v>38191</v>
      </c>
      <c r="F8" s="44">
        <f>58986000+18876</f>
        <v>59004876</v>
      </c>
      <c r="G8" s="43"/>
      <c r="H8" s="44"/>
      <c r="I8" s="43"/>
      <c r="J8" s="45"/>
    </row>
    <row r="9" spans="1:52">
      <c r="A9" s="41">
        <v>1</v>
      </c>
      <c r="B9" s="46">
        <v>46049</v>
      </c>
      <c r="C9" s="42" t="s">
        <v>1727</v>
      </c>
      <c r="D9" s="62" t="s">
        <v>1728</v>
      </c>
      <c r="E9" s="43"/>
      <c r="F9" s="44"/>
      <c r="G9" s="43">
        <v>600</v>
      </c>
      <c r="H9" s="44"/>
      <c r="I9" s="43"/>
      <c r="J9" s="45"/>
    </row>
    <row r="10" spans="1:52">
      <c r="A10" s="41">
        <v>2</v>
      </c>
      <c r="B10" s="46">
        <v>46049</v>
      </c>
      <c r="C10" s="42" t="s">
        <v>1729</v>
      </c>
      <c r="D10" s="62" t="s">
        <v>1730</v>
      </c>
      <c r="E10" s="43"/>
      <c r="F10" s="44"/>
      <c r="G10" s="43">
        <v>2500</v>
      </c>
      <c r="H10" s="44"/>
      <c r="I10" s="43"/>
      <c r="J10" s="45"/>
      <c r="AX10" s="5" t="s">
        <v>3</v>
      </c>
    </row>
    <row r="11" spans="1:52">
      <c r="A11" s="41">
        <v>3</v>
      </c>
      <c r="B11" s="46">
        <v>46049</v>
      </c>
      <c r="C11" s="42" t="s">
        <v>1731</v>
      </c>
      <c r="D11" s="62" t="s">
        <v>1732</v>
      </c>
      <c r="E11" s="43"/>
      <c r="F11" s="44"/>
      <c r="G11" s="43">
        <v>300</v>
      </c>
      <c r="H11" s="44"/>
      <c r="I11" s="43"/>
      <c r="J11" s="45"/>
    </row>
    <row r="12" spans="1:52">
      <c r="A12" s="41">
        <v>4</v>
      </c>
      <c r="B12" s="46">
        <v>46049</v>
      </c>
      <c r="C12" s="42" t="s">
        <v>1733</v>
      </c>
      <c r="D12" s="62" t="s">
        <v>1734</v>
      </c>
      <c r="E12" s="43"/>
      <c r="F12" s="44"/>
      <c r="G12" s="43">
        <v>193.74</v>
      </c>
      <c r="H12" s="44"/>
      <c r="I12" s="43"/>
      <c r="J12" s="45"/>
    </row>
    <row r="13" spans="1:52">
      <c r="A13" s="41">
        <v>5</v>
      </c>
      <c r="B13" s="46">
        <v>46049</v>
      </c>
      <c r="C13" s="42" t="s">
        <v>1735</v>
      </c>
      <c r="D13" s="62" t="s">
        <v>1736</v>
      </c>
      <c r="E13" s="43"/>
      <c r="F13" s="44"/>
      <c r="G13" s="43">
        <v>800</v>
      </c>
      <c r="H13" s="44"/>
      <c r="I13" s="43"/>
      <c r="J13" s="45"/>
    </row>
    <row r="14" spans="1:52">
      <c r="A14" s="41">
        <v>6</v>
      </c>
      <c r="B14" s="46">
        <v>46049</v>
      </c>
      <c r="C14" s="42" t="s">
        <v>1737</v>
      </c>
      <c r="D14" s="62" t="s">
        <v>1738</v>
      </c>
      <c r="E14" s="43"/>
      <c r="F14" s="44"/>
      <c r="G14" s="43">
        <v>800</v>
      </c>
      <c r="H14" s="44"/>
      <c r="I14" s="43"/>
      <c r="J14" s="45"/>
    </row>
    <row r="15" spans="1:52">
      <c r="A15" s="41">
        <v>7</v>
      </c>
      <c r="B15" s="46">
        <v>46049</v>
      </c>
      <c r="C15" s="42" t="s">
        <v>1739</v>
      </c>
      <c r="D15" s="62" t="s">
        <v>1740</v>
      </c>
      <c r="E15" s="43"/>
      <c r="F15" s="44"/>
      <c r="G15" s="43">
        <v>1104.6400000000001</v>
      </c>
      <c r="H15" s="44"/>
      <c r="I15" s="43"/>
      <c r="J15" s="45"/>
    </row>
    <row r="16" spans="1:52">
      <c r="A16" s="41">
        <v>8</v>
      </c>
      <c r="B16" s="46">
        <v>46049</v>
      </c>
      <c r="C16" s="42" t="s">
        <v>1741</v>
      </c>
      <c r="D16" s="62" t="s">
        <v>1742</v>
      </c>
      <c r="E16" s="43"/>
      <c r="F16" s="44"/>
      <c r="G16" s="43">
        <v>200</v>
      </c>
      <c r="H16" s="44"/>
      <c r="I16" s="43"/>
      <c r="J16" s="45"/>
    </row>
    <row r="17" spans="1:10">
      <c r="A17" s="41">
        <v>9</v>
      </c>
      <c r="B17" s="46">
        <v>46049</v>
      </c>
      <c r="C17" s="42" t="s">
        <v>1743</v>
      </c>
      <c r="D17" s="62" t="s">
        <v>1744</v>
      </c>
      <c r="E17" s="43"/>
      <c r="F17" s="44"/>
      <c r="G17" s="43">
        <v>644.44000000000005</v>
      </c>
      <c r="H17" s="44"/>
      <c r="I17" s="43"/>
      <c r="J17" s="45"/>
    </row>
    <row r="18" spans="1:10">
      <c r="A18" s="41">
        <v>10</v>
      </c>
      <c r="B18" s="46">
        <v>46049</v>
      </c>
      <c r="C18" s="42" t="s">
        <v>1745</v>
      </c>
      <c r="D18" s="62" t="s">
        <v>357</v>
      </c>
      <c r="E18" s="43"/>
      <c r="F18" s="44"/>
      <c r="G18" s="43">
        <v>750</v>
      </c>
      <c r="H18" s="44"/>
      <c r="I18" s="43"/>
      <c r="J18" s="45"/>
    </row>
    <row r="19" spans="1:10">
      <c r="A19" s="41">
        <v>11</v>
      </c>
      <c r="B19" s="46">
        <v>46049</v>
      </c>
      <c r="C19" s="42" t="s">
        <v>1746</v>
      </c>
      <c r="D19" s="62" t="s">
        <v>1747</v>
      </c>
      <c r="E19" s="43"/>
      <c r="F19" s="44"/>
      <c r="G19" s="43">
        <v>850</v>
      </c>
      <c r="H19" s="44"/>
      <c r="I19" s="43"/>
      <c r="J19" s="45"/>
    </row>
    <row r="20" spans="1:10">
      <c r="A20" s="41">
        <v>12</v>
      </c>
      <c r="B20" s="46">
        <v>46049</v>
      </c>
      <c r="C20" s="42" t="s">
        <v>1748</v>
      </c>
      <c r="D20" s="62" t="s">
        <v>1749</v>
      </c>
      <c r="E20" s="43"/>
      <c r="F20" s="44"/>
      <c r="G20" s="43">
        <v>600</v>
      </c>
      <c r="H20" s="44"/>
      <c r="I20" s="43"/>
      <c r="J20" s="45"/>
    </row>
    <row r="21" spans="1:10">
      <c r="A21" s="41">
        <v>13</v>
      </c>
      <c r="B21" s="46">
        <v>46049</v>
      </c>
      <c r="C21" s="42" t="s">
        <v>1750</v>
      </c>
      <c r="D21" s="62" t="s">
        <v>293</v>
      </c>
      <c r="E21" s="43"/>
      <c r="F21" s="44"/>
      <c r="G21" s="43">
        <v>1000</v>
      </c>
      <c r="H21" s="44"/>
      <c r="I21" s="43"/>
      <c r="J21" s="45"/>
    </row>
    <row r="22" spans="1:10">
      <c r="A22" s="41">
        <v>14</v>
      </c>
      <c r="B22" s="46">
        <v>46049</v>
      </c>
      <c r="C22" s="42" t="s">
        <v>1751</v>
      </c>
      <c r="D22" s="62" t="s">
        <v>297</v>
      </c>
      <c r="E22" s="43"/>
      <c r="F22" s="44"/>
      <c r="G22" s="43">
        <v>900</v>
      </c>
      <c r="H22" s="44"/>
      <c r="I22" s="43"/>
      <c r="J22" s="45"/>
    </row>
    <row r="23" spans="1:10">
      <c r="A23" s="41">
        <v>15</v>
      </c>
      <c r="B23" s="46">
        <v>46049</v>
      </c>
      <c r="C23" s="42" t="s">
        <v>1752</v>
      </c>
      <c r="D23" s="62" t="s">
        <v>1062</v>
      </c>
      <c r="E23" s="43"/>
      <c r="F23" s="44"/>
      <c r="G23" s="43">
        <v>3500</v>
      </c>
      <c r="H23" s="44"/>
      <c r="I23" s="43"/>
      <c r="J23" s="45"/>
    </row>
    <row r="24" spans="1:10">
      <c r="A24" s="41">
        <v>16</v>
      </c>
      <c r="B24" s="46">
        <v>46049</v>
      </c>
      <c r="C24" s="42" t="s">
        <v>1753</v>
      </c>
      <c r="D24" s="62" t="s">
        <v>1754</v>
      </c>
      <c r="E24" s="43"/>
      <c r="F24" s="44"/>
      <c r="G24" s="43">
        <v>500</v>
      </c>
      <c r="H24" s="44"/>
      <c r="I24" s="43"/>
      <c r="J24" s="45"/>
    </row>
    <row r="25" spans="1:10">
      <c r="A25" s="41">
        <v>17</v>
      </c>
      <c r="B25" s="46">
        <v>46049</v>
      </c>
      <c r="C25" s="42" t="s">
        <v>1755</v>
      </c>
      <c r="D25" s="62" t="s">
        <v>1295</v>
      </c>
      <c r="E25" s="43"/>
      <c r="F25" s="44"/>
      <c r="G25" s="43">
        <v>348.77</v>
      </c>
      <c r="H25" s="44"/>
      <c r="I25" s="43"/>
      <c r="J25" s="45"/>
    </row>
    <row r="26" spans="1:10">
      <c r="A26" s="41">
        <v>18</v>
      </c>
      <c r="B26" s="46">
        <v>46049</v>
      </c>
      <c r="C26" s="42" t="s">
        <v>1756</v>
      </c>
      <c r="D26" s="62" t="s">
        <v>1295</v>
      </c>
      <c r="E26" s="43"/>
      <c r="F26" s="44"/>
      <c r="G26" s="43">
        <v>706.13</v>
      </c>
      <c r="H26" s="44"/>
      <c r="I26" s="43"/>
      <c r="J26" s="45"/>
    </row>
    <row r="27" spans="1:10">
      <c r="A27" s="41">
        <v>19</v>
      </c>
      <c r="B27" s="46">
        <v>46049</v>
      </c>
      <c r="C27" s="42" t="s">
        <v>1757</v>
      </c>
      <c r="D27" s="62" t="s">
        <v>345</v>
      </c>
      <c r="E27" s="43"/>
      <c r="F27" s="44"/>
      <c r="G27" s="43">
        <v>63.77</v>
      </c>
      <c r="H27" s="44"/>
      <c r="I27" s="43"/>
      <c r="J27" s="45"/>
    </row>
    <row r="28" spans="1:10">
      <c r="A28" s="41">
        <v>20</v>
      </c>
      <c r="B28" s="46">
        <v>46049</v>
      </c>
      <c r="C28" s="42" t="s">
        <v>1758</v>
      </c>
      <c r="D28" s="62" t="s">
        <v>1759</v>
      </c>
      <c r="E28" s="43"/>
      <c r="F28" s="44"/>
      <c r="G28" s="43">
        <v>893.04</v>
      </c>
      <c r="H28" s="44"/>
      <c r="I28" s="43"/>
      <c r="J28" s="45"/>
    </row>
    <row r="29" spans="1:10" s="9" customFormat="1" ht="12.45">
      <c r="A29" s="41">
        <v>21</v>
      </c>
      <c r="B29" s="46">
        <v>46049</v>
      </c>
      <c r="C29" s="42" t="s">
        <v>1760</v>
      </c>
      <c r="D29" s="62" t="s">
        <v>1761</v>
      </c>
      <c r="E29" s="43"/>
      <c r="F29" s="44"/>
      <c r="G29" s="43">
        <v>1980</v>
      </c>
      <c r="H29" s="44"/>
      <c r="I29" s="43"/>
      <c r="J29" s="45"/>
    </row>
    <row r="30" spans="1:10">
      <c r="A30" s="41">
        <v>22</v>
      </c>
      <c r="B30" s="46">
        <v>46049</v>
      </c>
      <c r="C30" s="42" t="s">
        <v>1762</v>
      </c>
      <c r="D30" s="62" t="s">
        <v>1146</v>
      </c>
      <c r="E30" s="43"/>
      <c r="F30" s="44"/>
      <c r="G30" s="43">
        <v>2500</v>
      </c>
      <c r="H30" s="44"/>
      <c r="I30" s="43"/>
      <c r="J30" s="45"/>
    </row>
    <row r="31" spans="1:10">
      <c r="A31" s="41">
        <v>23</v>
      </c>
      <c r="B31" s="46">
        <v>46049</v>
      </c>
      <c r="C31" s="42" t="s">
        <v>1763</v>
      </c>
      <c r="D31" s="62" t="s">
        <v>1764</v>
      </c>
      <c r="E31" s="43"/>
      <c r="F31" s="44"/>
      <c r="G31" s="43">
        <v>500</v>
      </c>
      <c r="H31" s="44"/>
      <c r="I31" s="43"/>
      <c r="J31" s="45"/>
    </row>
    <row r="32" spans="1:10">
      <c r="A32" s="41">
        <v>24</v>
      </c>
      <c r="B32" s="46">
        <v>46049</v>
      </c>
      <c r="C32" s="42" t="s">
        <v>1765</v>
      </c>
      <c r="D32" s="62" t="s">
        <v>1766</v>
      </c>
      <c r="E32" s="43"/>
      <c r="F32" s="44"/>
      <c r="G32" s="43">
        <v>2500</v>
      </c>
      <c r="H32" s="44"/>
      <c r="I32" s="43"/>
      <c r="J32" s="45"/>
    </row>
    <row r="33" spans="1:10">
      <c r="A33" s="41">
        <v>25</v>
      </c>
      <c r="B33" s="46">
        <v>46049</v>
      </c>
      <c r="C33" s="42" t="s">
        <v>1767</v>
      </c>
      <c r="D33" s="62" t="s">
        <v>1768</v>
      </c>
      <c r="E33" s="43"/>
      <c r="F33" s="44"/>
      <c r="G33" s="43">
        <v>439.28</v>
      </c>
      <c r="H33" s="44"/>
      <c r="I33" s="43"/>
      <c r="J33" s="45"/>
    </row>
    <row r="34" spans="1:10">
      <c r="A34" s="41">
        <v>26</v>
      </c>
      <c r="B34" s="46">
        <v>46049</v>
      </c>
      <c r="C34" s="42" t="s">
        <v>1769</v>
      </c>
      <c r="D34" s="62" t="s">
        <v>1770</v>
      </c>
      <c r="E34" s="43"/>
      <c r="F34" s="44"/>
      <c r="G34" s="43">
        <v>3000</v>
      </c>
      <c r="H34" s="44"/>
      <c r="I34" s="43"/>
      <c r="J34" s="45"/>
    </row>
    <row r="35" spans="1:10">
      <c r="A35" s="41">
        <v>27</v>
      </c>
      <c r="B35" s="46">
        <v>46049</v>
      </c>
      <c r="C35" s="42" t="s">
        <v>1771</v>
      </c>
      <c r="D35" s="62" t="s">
        <v>454</v>
      </c>
      <c r="E35" s="43"/>
      <c r="F35" s="44"/>
      <c r="G35" s="43">
        <v>800</v>
      </c>
      <c r="H35" s="44"/>
      <c r="I35" s="43"/>
      <c r="J35" s="45"/>
    </row>
    <row r="36" spans="1:10">
      <c r="A36" s="41">
        <v>28</v>
      </c>
      <c r="B36" s="46">
        <v>46049</v>
      </c>
      <c r="C36" s="42" t="s">
        <v>1772</v>
      </c>
      <c r="D36" s="62" t="s">
        <v>1773</v>
      </c>
      <c r="E36" s="43"/>
      <c r="F36" s="44"/>
      <c r="G36" s="43">
        <v>200</v>
      </c>
      <c r="H36" s="44"/>
      <c r="I36" s="43"/>
      <c r="J36" s="45"/>
    </row>
    <row r="37" spans="1:10">
      <c r="A37" s="41">
        <v>29</v>
      </c>
      <c r="B37" s="46">
        <v>46049</v>
      </c>
      <c r="C37" s="42" t="s">
        <v>1774</v>
      </c>
      <c r="D37" s="62" t="s">
        <v>1775</v>
      </c>
      <c r="E37" s="43"/>
      <c r="F37" s="44"/>
      <c r="G37" s="43">
        <v>100</v>
      </c>
      <c r="H37" s="44"/>
      <c r="I37" s="43"/>
      <c r="J37" s="45"/>
    </row>
    <row r="38" spans="1:10">
      <c r="A38" s="41">
        <v>30</v>
      </c>
      <c r="B38" s="46">
        <v>46049</v>
      </c>
      <c r="C38" s="42" t="s">
        <v>1776</v>
      </c>
      <c r="D38" s="62" t="s">
        <v>1777</v>
      </c>
      <c r="E38" s="43"/>
      <c r="F38" s="44"/>
      <c r="G38" s="43">
        <v>200</v>
      </c>
      <c r="H38" s="44"/>
      <c r="I38" s="43"/>
      <c r="J38" s="45"/>
    </row>
    <row r="39" spans="1:10">
      <c r="A39" s="41">
        <v>31</v>
      </c>
      <c r="B39" s="46">
        <v>46049</v>
      </c>
      <c r="C39" s="42" t="s">
        <v>1778</v>
      </c>
      <c r="D39" s="62" t="s">
        <v>1779</v>
      </c>
      <c r="E39" s="43"/>
      <c r="F39" s="44"/>
      <c r="G39" s="43">
        <v>2500</v>
      </c>
      <c r="H39" s="44"/>
      <c r="I39" s="43"/>
      <c r="J39" s="45"/>
    </row>
    <row r="40" spans="1:10">
      <c r="A40" s="41">
        <v>32</v>
      </c>
      <c r="B40" s="46">
        <v>46049</v>
      </c>
      <c r="C40" s="42" t="s">
        <v>1780</v>
      </c>
      <c r="D40" s="62" t="s">
        <v>153</v>
      </c>
      <c r="E40" s="43"/>
      <c r="F40" s="44"/>
      <c r="G40" s="43">
        <v>50</v>
      </c>
      <c r="H40" s="44"/>
      <c r="I40" s="43"/>
      <c r="J40" s="45"/>
    </row>
    <row r="41" spans="1:10">
      <c r="A41" s="41">
        <v>33</v>
      </c>
      <c r="B41" s="46">
        <v>46049</v>
      </c>
      <c r="C41" s="42" t="s">
        <v>1781</v>
      </c>
      <c r="D41" s="62" t="s">
        <v>1782</v>
      </c>
      <c r="E41" s="43"/>
      <c r="F41" s="44"/>
      <c r="G41" s="43">
        <v>650.76</v>
      </c>
      <c r="H41" s="44"/>
      <c r="I41" s="43"/>
      <c r="J41" s="45"/>
    </row>
    <row r="42" spans="1:10">
      <c r="A42" s="41">
        <v>34</v>
      </c>
      <c r="B42" s="46">
        <v>46049</v>
      </c>
      <c r="C42" s="42" t="s">
        <v>1783</v>
      </c>
      <c r="D42" s="62" t="s">
        <v>1784</v>
      </c>
      <c r="E42" s="43"/>
      <c r="F42" s="44"/>
      <c r="G42" s="43">
        <v>476.91</v>
      </c>
      <c r="H42" s="44"/>
      <c r="I42" s="43"/>
      <c r="J42" s="45"/>
    </row>
    <row r="43" spans="1:10" s="9" customFormat="1" ht="12.45">
      <c r="A43" s="41">
        <v>35</v>
      </c>
      <c r="B43" s="46">
        <v>46049</v>
      </c>
      <c r="C43" s="42" t="s">
        <v>1785</v>
      </c>
      <c r="D43" s="62" t="s">
        <v>1786</v>
      </c>
      <c r="E43" s="43"/>
      <c r="F43" s="44"/>
      <c r="G43" s="43"/>
      <c r="H43" s="44">
        <v>18644000</v>
      </c>
      <c r="I43" s="43"/>
      <c r="J43" s="45"/>
    </row>
    <row r="44" spans="1:10">
      <c r="A44" s="41">
        <v>36</v>
      </c>
      <c r="B44" s="46">
        <v>46049</v>
      </c>
      <c r="C44" s="42" t="s">
        <v>1787</v>
      </c>
      <c r="D44" s="62" t="s">
        <v>1179</v>
      </c>
      <c r="E44" s="43"/>
      <c r="F44" s="44"/>
      <c r="G44" s="43"/>
      <c r="H44" s="44">
        <v>3031000</v>
      </c>
      <c r="I44" s="43"/>
      <c r="J44" s="45"/>
    </row>
    <row r="45" spans="1:10">
      <c r="A45" s="41">
        <v>37</v>
      </c>
      <c r="B45" s="46">
        <v>46049</v>
      </c>
      <c r="C45" s="42" t="s">
        <v>1788</v>
      </c>
      <c r="D45" s="62" t="s">
        <v>1388</v>
      </c>
      <c r="E45" s="43"/>
      <c r="F45" s="44"/>
      <c r="G45" s="43"/>
      <c r="H45" s="44">
        <v>4009000</v>
      </c>
      <c r="I45" s="43"/>
      <c r="J45" s="45"/>
    </row>
    <row r="46" spans="1:10">
      <c r="A46" s="41">
        <v>38</v>
      </c>
      <c r="B46" s="46">
        <v>46049</v>
      </c>
      <c r="C46" s="42" t="s">
        <v>1789</v>
      </c>
      <c r="D46" s="62" t="s">
        <v>1790</v>
      </c>
      <c r="E46" s="43"/>
      <c r="F46" s="44"/>
      <c r="G46" s="43"/>
      <c r="H46" s="44">
        <v>12045000</v>
      </c>
      <c r="I46" s="43"/>
      <c r="J46" s="45"/>
    </row>
    <row r="47" spans="1:10">
      <c r="A47" s="41">
        <v>39</v>
      </c>
      <c r="B47" s="46">
        <v>46049</v>
      </c>
      <c r="C47" s="42" t="s">
        <v>1791</v>
      </c>
      <c r="D47" s="62" t="s">
        <v>1792</v>
      </c>
      <c r="E47" s="43"/>
      <c r="F47" s="44"/>
      <c r="G47" s="43"/>
      <c r="H47" s="44">
        <v>4000000</v>
      </c>
      <c r="I47" s="43"/>
      <c r="J47" s="45"/>
    </row>
    <row r="48" spans="1:10">
      <c r="A48" s="41">
        <v>40</v>
      </c>
      <c r="B48" s="46">
        <v>46049</v>
      </c>
      <c r="C48" s="42" t="s">
        <v>1793</v>
      </c>
      <c r="D48" s="62" t="s">
        <v>1189</v>
      </c>
      <c r="E48" s="43"/>
      <c r="F48" s="44"/>
      <c r="G48" s="43"/>
      <c r="H48" s="44">
        <v>18865000</v>
      </c>
      <c r="I48" s="43"/>
      <c r="J48" s="45"/>
    </row>
    <row r="49" spans="1:10" s="9" customFormat="1" thickBot="1">
      <c r="A49" s="47"/>
      <c r="B49" s="48"/>
      <c r="C49" s="48"/>
      <c r="D49" s="48" t="s">
        <v>4</v>
      </c>
      <c r="E49" s="50"/>
      <c r="F49" s="49"/>
      <c r="G49" s="50">
        <v>33151.480000000003</v>
      </c>
      <c r="H49" s="49">
        <f>SUM(H43:H48)</f>
        <v>60594000</v>
      </c>
      <c r="I49" s="50">
        <v>56538.57</v>
      </c>
      <c r="J49" s="51">
        <f>J7+F8-H49</f>
        <v>239712236</v>
      </c>
    </row>
    <row r="50" spans="1:10" s="9" customFormat="1" ht="12.45">
      <c r="A50" s="71"/>
      <c r="B50" s="71"/>
      <c r="C50" s="71"/>
      <c r="D50" s="71"/>
      <c r="E50" s="72"/>
      <c r="F50" s="73"/>
      <c r="G50" s="72"/>
      <c r="H50" s="73"/>
      <c r="I50" s="72"/>
      <c r="J50" s="73"/>
    </row>
    <row r="52" spans="1:10">
      <c r="H52" s="10" t="s">
        <v>14</v>
      </c>
    </row>
    <row r="53" spans="1:10">
      <c r="H53" s="11" t="s">
        <v>15</v>
      </c>
    </row>
    <row r="88" spans="52:52">
      <c r="AZ88" s="1" t="s">
        <v>5</v>
      </c>
    </row>
  </sheetData>
  <mergeCells count="9">
    <mergeCell ref="A1:E2"/>
    <mergeCell ref="A3:J4"/>
    <mergeCell ref="A5:A6"/>
    <mergeCell ref="B5:B6"/>
    <mergeCell ref="C5:C6"/>
    <mergeCell ref="D5:D6"/>
    <mergeCell ref="E5:F5"/>
    <mergeCell ref="G5:H5"/>
    <mergeCell ref="I5:J5"/>
  </mergeCells>
  <pageMargins left="0.5" right="0" top="0.5" bottom="0.5" header="0" footer="0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68E08-DA2C-4D8E-ABFC-C4BEBF8EA152}">
  <sheetPr>
    <tabColor rgb="FFFFFF00"/>
  </sheetPr>
  <dimension ref="A1:AZ84"/>
  <sheetViews>
    <sheetView topLeftCell="A25" zoomScale="85" zoomScaleNormal="85" workbookViewId="0">
      <selection activeCell="J47" sqref="J47"/>
    </sheetView>
  </sheetViews>
  <sheetFormatPr defaultColWidth="9.15234375" defaultRowHeight="12.9"/>
  <cols>
    <col min="1" max="1" width="4.23046875" style="1" bestFit="1" customWidth="1"/>
    <col min="2" max="2" width="6.84375" style="1" bestFit="1" customWidth="1"/>
    <col min="3" max="3" width="10.23046875" style="6" bestFit="1" customWidth="1"/>
    <col min="4" max="4" width="21.61328125" style="1" customWidth="1"/>
    <col min="5" max="5" width="8.4609375" style="7" bestFit="1" customWidth="1"/>
    <col min="6" max="6" width="9.3046875" style="1" bestFit="1" customWidth="1"/>
    <col min="7" max="7" width="8.84375" style="1" bestFit="1" customWidth="1"/>
    <col min="8" max="8" width="10.61328125" style="1" bestFit="1" customWidth="1"/>
    <col min="9" max="9" width="8.84375" style="1" bestFit="1" customWidth="1"/>
    <col min="10" max="10" width="10.61328125" style="1" bestFit="1" customWidth="1"/>
    <col min="11" max="16384" width="9.15234375" style="1"/>
  </cols>
  <sheetData>
    <row r="1" spans="1:52" ht="28.3" customHeight="1">
      <c r="A1" s="79" t="s">
        <v>17</v>
      </c>
      <c r="B1" s="80"/>
      <c r="C1" s="80"/>
      <c r="D1" s="80"/>
      <c r="E1" s="80"/>
    </row>
    <row r="2" spans="1:52" ht="28.3" customHeight="1">
      <c r="A2" s="80"/>
      <c r="B2" s="80"/>
      <c r="C2" s="80"/>
      <c r="D2" s="80"/>
      <c r="E2" s="80"/>
    </row>
    <row r="3" spans="1:52">
      <c r="A3" s="81" t="s">
        <v>11</v>
      </c>
      <c r="B3" s="81"/>
      <c r="C3" s="81"/>
      <c r="D3" s="81"/>
      <c r="E3" s="81"/>
      <c r="F3" s="81"/>
      <c r="G3" s="81"/>
      <c r="H3" s="81"/>
      <c r="I3" s="81"/>
      <c r="J3" s="81"/>
      <c r="AS3" s="2">
        <v>43921</v>
      </c>
      <c r="AZ3" s="1">
        <f>(AQ3-4)*20000</f>
        <v>-80000</v>
      </c>
    </row>
    <row r="4" spans="1:52" ht="13.3" thickBot="1">
      <c r="A4" s="81"/>
      <c r="B4" s="81"/>
      <c r="C4" s="81"/>
      <c r="D4" s="81"/>
      <c r="E4" s="81"/>
      <c r="F4" s="81"/>
      <c r="G4" s="81"/>
      <c r="H4" s="81"/>
      <c r="I4" s="81"/>
      <c r="J4" s="81"/>
    </row>
    <row r="5" spans="1:52">
      <c r="A5" s="82" t="s">
        <v>0</v>
      </c>
      <c r="B5" s="84" t="s">
        <v>9</v>
      </c>
      <c r="C5" s="86" t="s">
        <v>1</v>
      </c>
      <c r="D5" s="84" t="s">
        <v>10</v>
      </c>
      <c r="E5" s="88" t="s">
        <v>13</v>
      </c>
      <c r="F5" s="88"/>
      <c r="G5" s="88" t="s">
        <v>8</v>
      </c>
      <c r="H5" s="88"/>
      <c r="I5" s="88" t="s">
        <v>7</v>
      </c>
      <c r="J5" s="89"/>
    </row>
    <row r="6" spans="1:52">
      <c r="A6" s="83"/>
      <c r="B6" s="85"/>
      <c r="C6" s="87"/>
      <c r="D6" s="85"/>
      <c r="E6" s="38" t="s">
        <v>2</v>
      </c>
      <c r="F6" s="39" t="s">
        <v>6</v>
      </c>
      <c r="G6" s="39" t="s">
        <v>2</v>
      </c>
      <c r="H6" s="39" t="s">
        <v>6</v>
      </c>
      <c r="I6" s="39" t="s">
        <v>2</v>
      </c>
      <c r="J6" s="40" t="s">
        <v>6</v>
      </c>
    </row>
    <row r="7" spans="1:52">
      <c r="A7" s="41"/>
      <c r="B7" s="42"/>
      <c r="C7" s="42"/>
      <c r="D7" s="42" t="s">
        <v>12</v>
      </c>
      <c r="E7" s="43"/>
      <c r="F7" s="44"/>
      <c r="G7" s="43"/>
      <c r="H7" s="44"/>
      <c r="I7" s="43">
        <v>56538.57</v>
      </c>
      <c r="J7" s="45">
        <v>239712236</v>
      </c>
    </row>
    <row r="8" spans="1:52">
      <c r="A8" s="41"/>
      <c r="B8" s="42"/>
      <c r="C8" s="42"/>
      <c r="D8" s="42" t="s">
        <v>16</v>
      </c>
      <c r="E8" s="43">
        <v>33151</v>
      </c>
      <c r="F8" s="44">
        <f>60594000+11616</f>
        <v>60605616</v>
      </c>
      <c r="G8" s="43"/>
      <c r="H8" s="44"/>
      <c r="I8" s="43"/>
      <c r="J8" s="45"/>
    </row>
    <row r="9" spans="1:52">
      <c r="A9" s="41">
        <v>1</v>
      </c>
      <c r="B9" s="46">
        <v>46050</v>
      </c>
      <c r="C9" s="42" t="s">
        <v>1794</v>
      </c>
      <c r="D9" s="42" t="s">
        <v>770</v>
      </c>
      <c r="E9" s="43"/>
      <c r="F9" s="44"/>
      <c r="G9" s="43">
        <v>300</v>
      </c>
      <c r="H9" s="44"/>
      <c r="I9" s="43"/>
      <c r="J9" s="45"/>
    </row>
    <row r="10" spans="1:52">
      <c r="A10" s="41">
        <v>2</v>
      </c>
      <c r="B10" s="46">
        <v>46050</v>
      </c>
      <c r="C10" s="42" t="s">
        <v>1795</v>
      </c>
      <c r="D10" s="42" t="s">
        <v>195</v>
      </c>
      <c r="E10" s="43"/>
      <c r="F10" s="44"/>
      <c r="G10" s="43">
        <v>300</v>
      </c>
      <c r="H10" s="44"/>
      <c r="I10" s="43"/>
      <c r="J10" s="45"/>
      <c r="AX10" s="5" t="s">
        <v>3</v>
      </c>
    </row>
    <row r="11" spans="1:52">
      <c r="A11" s="41">
        <v>3</v>
      </c>
      <c r="B11" s="46">
        <v>46050</v>
      </c>
      <c r="C11" s="42" t="s">
        <v>1796</v>
      </c>
      <c r="D11" s="42" t="s">
        <v>1732</v>
      </c>
      <c r="E11" s="43"/>
      <c r="F11" s="44"/>
      <c r="G11" s="43">
        <v>100</v>
      </c>
      <c r="H11" s="44"/>
      <c r="I11" s="43"/>
      <c r="J11" s="45"/>
    </row>
    <row r="12" spans="1:52">
      <c r="A12" s="41">
        <v>4</v>
      </c>
      <c r="B12" s="46">
        <v>46050</v>
      </c>
      <c r="C12" s="42" t="s">
        <v>1797</v>
      </c>
      <c r="D12" s="42" t="s">
        <v>1798</v>
      </c>
      <c r="E12" s="43"/>
      <c r="F12" s="44"/>
      <c r="G12" s="43">
        <v>150</v>
      </c>
      <c r="H12" s="44"/>
      <c r="I12" s="43"/>
      <c r="J12" s="45"/>
    </row>
    <row r="13" spans="1:52">
      <c r="A13" s="41">
        <v>5</v>
      </c>
      <c r="B13" s="46">
        <v>46050</v>
      </c>
      <c r="C13" s="42" t="s">
        <v>1799</v>
      </c>
      <c r="D13" s="42" t="s">
        <v>1146</v>
      </c>
      <c r="E13" s="43"/>
      <c r="F13" s="44"/>
      <c r="G13" s="43">
        <v>6000</v>
      </c>
      <c r="H13" s="44"/>
      <c r="I13" s="43"/>
      <c r="J13" s="45"/>
    </row>
    <row r="14" spans="1:52">
      <c r="A14" s="41">
        <v>6</v>
      </c>
      <c r="B14" s="46">
        <v>46050</v>
      </c>
      <c r="C14" s="42" t="s">
        <v>1800</v>
      </c>
      <c r="D14" s="42" t="s">
        <v>1517</v>
      </c>
      <c r="E14" s="43"/>
      <c r="F14" s="44"/>
      <c r="G14" s="43">
        <v>500</v>
      </c>
      <c r="H14" s="44"/>
      <c r="I14" s="43"/>
      <c r="J14" s="45"/>
    </row>
    <row r="15" spans="1:52">
      <c r="A15" s="41">
        <v>7</v>
      </c>
      <c r="B15" s="46">
        <v>46050</v>
      </c>
      <c r="C15" s="42" t="s">
        <v>1801</v>
      </c>
      <c r="D15" s="42" t="s">
        <v>1802</v>
      </c>
      <c r="E15" s="43"/>
      <c r="F15" s="44"/>
      <c r="G15" s="43">
        <v>1500</v>
      </c>
      <c r="H15" s="44"/>
      <c r="I15" s="43"/>
      <c r="J15" s="45"/>
    </row>
    <row r="16" spans="1:52">
      <c r="A16" s="41">
        <v>8</v>
      </c>
      <c r="B16" s="46">
        <v>46050</v>
      </c>
      <c r="C16" s="42" t="s">
        <v>1803</v>
      </c>
      <c r="D16" s="42" t="s">
        <v>123</v>
      </c>
      <c r="E16" s="43"/>
      <c r="F16" s="44"/>
      <c r="G16" s="43">
        <v>400</v>
      </c>
      <c r="H16" s="44"/>
      <c r="I16" s="43"/>
      <c r="J16" s="45"/>
    </row>
    <row r="17" spans="1:10">
      <c r="A17" s="41">
        <v>9</v>
      </c>
      <c r="B17" s="46">
        <v>46050</v>
      </c>
      <c r="C17" s="42" t="s">
        <v>1804</v>
      </c>
      <c r="D17" s="42" t="s">
        <v>1805</v>
      </c>
      <c r="E17" s="43"/>
      <c r="F17" s="44"/>
      <c r="G17" s="43">
        <v>200</v>
      </c>
      <c r="H17" s="44"/>
      <c r="I17" s="43"/>
      <c r="J17" s="45"/>
    </row>
    <row r="18" spans="1:10">
      <c r="A18" s="41">
        <v>10</v>
      </c>
      <c r="B18" s="46">
        <v>46050</v>
      </c>
      <c r="C18" s="42" t="s">
        <v>1806</v>
      </c>
      <c r="D18" s="42" t="s">
        <v>1807</v>
      </c>
      <c r="E18" s="43"/>
      <c r="F18" s="44"/>
      <c r="G18" s="43">
        <v>3050</v>
      </c>
      <c r="H18" s="44"/>
      <c r="I18" s="43"/>
      <c r="J18" s="45"/>
    </row>
    <row r="19" spans="1:10">
      <c r="A19" s="41">
        <v>11</v>
      </c>
      <c r="B19" s="46">
        <v>46050</v>
      </c>
      <c r="C19" s="42" t="s">
        <v>1808</v>
      </c>
      <c r="D19" s="42" t="s">
        <v>1807</v>
      </c>
      <c r="E19" s="43"/>
      <c r="F19" s="44"/>
      <c r="G19" s="43">
        <v>2350</v>
      </c>
      <c r="H19" s="44"/>
      <c r="I19" s="43"/>
      <c r="J19" s="45"/>
    </row>
    <row r="20" spans="1:10">
      <c r="A20" s="41">
        <v>12</v>
      </c>
      <c r="B20" s="46">
        <v>46050</v>
      </c>
      <c r="C20" s="42" t="s">
        <v>1809</v>
      </c>
      <c r="D20" s="42" t="s">
        <v>1810</v>
      </c>
      <c r="E20" s="43"/>
      <c r="F20" s="44"/>
      <c r="G20" s="43">
        <v>400</v>
      </c>
      <c r="H20" s="44"/>
      <c r="I20" s="43"/>
      <c r="J20" s="45"/>
    </row>
    <row r="21" spans="1:10">
      <c r="A21" s="41">
        <v>13</v>
      </c>
      <c r="B21" s="46">
        <v>46050</v>
      </c>
      <c r="C21" s="42" t="s">
        <v>1811</v>
      </c>
      <c r="D21" s="42" t="s">
        <v>1812</v>
      </c>
      <c r="E21" s="43"/>
      <c r="F21" s="44"/>
      <c r="G21" s="43">
        <v>1500.06</v>
      </c>
      <c r="H21" s="44"/>
      <c r="I21" s="43"/>
      <c r="J21" s="45"/>
    </row>
    <row r="22" spans="1:10">
      <c r="A22" s="41">
        <v>14</v>
      </c>
      <c r="B22" s="46">
        <v>46050</v>
      </c>
      <c r="C22" s="42" t="s">
        <v>1813</v>
      </c>
      <c r="D22" s="42" t="s">
        <v>1814</v>
      </c>
      <c r="E22" s="43"/>
      <c r="F22" s="44"/>
      <c r="G22" s="43">
        <v>505.27</v>
      </c>
      <c r="H22" s="44"/>
      <c r="I22" s="43"/>
      <c r="J22" s="45"/>
    </row>
    <row r="23" spans="1:10">
      <c r="A23" s="41">
        <v>15</v>
      </c>
      <c r="B23" s="46">
        <v>46050</v>
      </c>
      <c r="C23" s="42" t="s">
        <v>1815</v>
      </c>
      <c r="D23" s="42" t="s">
        <v>827</v>
      </c>
      <c r="E23" s="43"/>
      <c r="F23" s="44"/>
      <c r="G23" s="43">
        <v>427.16</v>
      </c>
      <c r="H23" s="44"/>
      <c r="I23" s="43"/>
      <c r="J23" s="45"/>
    </row>
    <row r="24" spans="1:10">
      <c r="A24" s="41">
        <v>16</v>
      </c>
      <c r="B24" s="46">
        <v>46050</v>
      </c>
      <c r="C24" s="42" t="s">
        <v>1816</v>
      </c>
      <c r="D24" s="42" t="s">
        <v>179</v>
      </c>
      <c r="E24" s="43"/>
      <c r="F24" s="44"/>
      <c r="G24" s="43">
        <v>200</v>
      </c>
      <c r="H24" s="44"/>
      <c r="I24" s="43"/>
      <c r="J24" s="45"/>
    </row>
    <row r="25" spans="1:10">
      <c r="A25" s="41">
        <v>17</v>
      </c>
      <c r="B25" s="46">
        <v>46050</v>
      </c>
      <c r="C25" s="42" t="s">
        <v>1817</v>
      </c>
      <c r="D25" s="42" t="s">
        <v>303</v>
      </c>
      <c r="E25" s="43"/>
      <c r="F25" s="44"/>
      <c r="G25" s="43">
        <v>2500</v>
      </c>
      <c r="H25" s="44"/>
      <c r="I25" s="43"/>
      <c r="J25" s="45"/>
    </row>
    <row r="26" spans="1:10">
      <c r="A26" s="41">
        <v>18</v>
      </c>
      <c r="B26" s="46">
        <v>46050</v>
      </c>
      <c r="C26" s="42" t="s">
        <v>1818</v>
      </c>
      <c r="D26" s="42" t="s">
        <v>1819</v>
      </c>
      <c r="E26" s="43"/>
      <c r="F26" s="44"/>
      <c r="G26" s="43">
        <v>107.01</v>
      </c>
      <c r="H26" s="44"/>
      <c r="I26" s="43"/>
      <c r="J26" s="45"/>
    </row>
    <row r="27" spans="1:10">
      <c r="A27" s="41">
        <v>19</v>
      </c>
      <c r="B27" s="46">
        <v>46050</v>
      </c>
      <c r="C27" s="42" t="s">
        <v>1820</v>
      </c>
      <c r="D27" s="42" t="s">
        <v>1432</v>
      </c>
      <c r="E27" s="43"/>
      <c r="F27" s="44"/>
      <c r="G27" s="43">
        <v>108.15</v>
      </c>
      <c r="H27" s="44"/>
      <c r="I27" s="43"/>
      <c r="J27" s="45"/>
    </row>
    <row r="28" spans="1:10">
      <c r="A28" s="41">
        <v>20</v>
      </c>
      <c r="B28" s="46">
        <v>46050</v>
      </c>
      <c r="C28" s="42" t="s">
        <v>1821</v>
      </c>
      <c r="D28" s="42" t="s">
        <v>1822</v>
      </c>
      <c r="E28" s="43"/>
      <c r="F28" s="44"/>
      <c r="G28" s="43">
        <v>1000</v>
      </c>
      <c r="H28" s="44"/>
      <c r="I28" s="43"/>
      <c r="J28" s="45"/>
    </row>
    <row r="29" spans="1:10" s="9" customFormat="1" ht="12.45">
      <c r="A29" s="41">
        <v>21</v>
      </c>
      <c r="B29" s="46">
        <v>46050</v>
      </c>
      <c r="C29" s="42" t="s">
        <v>1823</v>
      </c>
      <c r="D29" s="42" t="s">
        <v>1824</v>
      </c>
      <c r="E29" s="43"/>
      <c r="F29" s="44"/>
      <c r="G29" s="43">
        <v>400</v>
      </c>
      <c r="H29" s="44"/>
      <c r="I29" s="43"/>
      <c r="J29" s="45"/>
    </row>
    <row r="30" spans="1:10">
      <c r="A30" s="41">
        <v>22</v>
      </c>
      <c r="B30" s="46">
        <v>46050</v>
      </c>
      <c r="C30" s="42" t="s">
        <v>1825</v>
      </c>
      <c r="D30" s="42" t="s">
        <v>636</v>
      </c>
      <c r="E30" s="43"/>
      <c r="F30" s="44"/>
      <c r="G30" s="43">
        <v>50</v>
      </c>
      <c r="H30" s="44"/>
      <c r="I30" s="43"/>
      <c r="J30" s="45"/>
    </row>
    <row r="31" spans="1:10">
      <c r="A31" s="41">
        <v>23</v>
      </c>
      <c r="B31" s="46">
        <v>46050</v>
      </c>
      <c r="C31" s="42" t="s">
        <v>1826</v>
      </c>
      <c r="D31" s="42" t="s">
        <v>1827</v>
      </c>
      <c r="E31" s="43"/>
      <c r="F31" s="44"/>
      <c r="G31" s="43">
        <v>343.19</v>
      </c>
      <c r="H31" s="44"/>
      <c r="I31" s="43"/>
      <c r="J31" s="45"/>
    </row>
    <row r="32" spans="1:10">
      <c r="A32" s="41">
        <v>24</v>
      </c>
      <c r="B32" s="46">
        <v>46050</v>
      </c>
      <c r="C32" s="42" t="s">
        <v>1828</v>
      </c>
      <c r="D32" s="42" t="s">
        <v>110</v>
      </c>
      <c r="E32" s="43"/>
      <c r="F32" s="44"/>
      <c r="G32" s="43">
        <v>501.07</v>
      </c>
      <c r="H32" s="44"/>
      <c r="I32" s="43"/>
      <c r="J32" s="45"/>
    </row>
    <row r="33" spans="1:10">
      <c r="A33" s="41">
        <v>25</v>
      </c>
      <c r="B33" s="46">
        <v>46050</v>
      </c>
      <c r="C33" s="42" t="s">
        <v>1829</v>
      </c>
      <c r="D33" s="42" t="s">
        <v>1830</v>
      </c>
      <c r="E33" s="43"/>
      <c r="F33" s="44"/>
      <c r="G33" s="43">
        <v>1095</v>
      </c>
      <c r="H33" s="44"/>
      <c r="I33" s="43"/>
      <c r="J33" s="45"/>
    </row>
    <row r="34" spans="1:10">
      <c r="A34" s="41">
        <v>26</v>
      </c>
      <c r="B34" s="46">
        <v>46050</v>
      </c>
      <c r="C34" s="42" t="s">
        <v>1831</v>
      </c>
      <c r="D34" s="42" t="s">
        <v>1832</v>
      </c>
      <c r="E34" s="43"/>
      <c r="F34" s="44"/>
      <c r="G34" s="43">
        <v>600</v>
      </c>
      <c r="H34" s="44"/>
      <c r="I34" s="43"/>
      <c r="J34" s="45"/>
    </row>
    <row r="35" spans="1:10">
      <c r="A35" s="41">
        <v>27</v>
      </c>
      <c r="B35" s="46">
        <v>46050</v>
      </c>
      <c r="C35" s="42" t="s">
        <v>1833</v>
      </c>
      <c r="D35" s="42" t="s">
        <v>1834</v>
      </c>
      <c r="E35" s="43"/>
      <c r="F35" s="44"/>
      <c r="G35" s="43">
        <v>1000</v>
      </c>
      <c r="H35" s="44"/>
      <c r="I35" s="43"/>
      <c r="J35" s="45"/>
    </row>
    <row r="36" spans="1:10">
      <c r="A36" s="41">
        <v>28</v>
      </c>
      <c r="B36" s="46">
        <v>46050</v>
      </c>
      <c r="C36" s="42" t="s">
        <v>1835</v>
      </c>
      <c r="D36" s="42" t="s">
        <v>965</v>
      </c>
      <c r="E36" s="43"/>
      <c r="F36" s="44"/>
      <c r="G36" s="43">
        <v>485.96</v>
      </c>
      <c r="H36" s="44"/>
      <c r="I36" s="43"/>
      <c r="J36" s="45"/>
    </row>
    <row r="37" spans="1:10">
      <c r="A37" s="41">
        <v>29</v>
      </c>
      <c r="B37" s="46">
        <v>46050</v>
      </c>
      <c r="C37" s="42" t="s">
        <v>1836</v>
      </c>
      <c r="D37" s="42" t="s">
        <v>1715</v>
      </c>
      <c r="E37" s="43"/>
      <c r="F37" s="44"/>
      <c r="G37" s="43">
        <v>132</v>
      </c>
      <c r="H37" s="44"/>
      <c r="I37" s="43"/>
      <c r="J37" s="45"/>
    </row>
    <row r="38" spans="1:10">
      <c r="A38" s="41">
        <v>30</v>
      </c>
      <c r="B38" s="46">
        <v>46050</v>
      </c>
      <c r="C38" s="42" t="s">
        <v>1837</v>
      </c>
      <c r="D38" s="42" t="s">
        <v>1715</v>
      </c>
      <c r="E38" s="43"/>
      <c r="F38" s="44"/>
      <c r="G38" s="43">
        <v>28.77</v>
      </c>
      <c r="H38" s="44"/>
      <c r="I38" s="43"/>
      <c r="J38" s="45"/>
    </row>
    <row r="39" spans="1:10">
      <c r="A39" s="41">
        <v>31</v>
      </c>
      <c r="B39" s="46">
        <v>46050</v>
      </c>
      <c r="C39" s="42" t="s">
        <v>1838</v>
      </c>
      <c r="D39" s="42" t="s">
        <v>516</v>
      </c>
      <c r="E39" s="43"/>
      <c r="F39" s="44"/>
      <c r="G39" s="43">
        <v>200</v>
      </c>
      <c r="H39" s="44"/>
      <c r="I39" s="43"/>
      <c r="J39" s="45"/>
    </row>
    <row r="40" spans="1:10">
      <c r="A40" s="41">
        <v>32</v>
      </c>
      <c r="B40" s="46">
        <v>46050</v>
      </c>
      <c r="C40" s="42" t="s">
        <v>1839</v>
      </c>
      <c r="D40" s="42" t="s">
        <v>1840</v>
      </c>
      <c r="E40" s="43"/>
      <c r="F40" s="44"/>
      <c r="G40" s="43">
        <v>336.19</v>
      </c>
      <c r="H40" s="44"/>
      <c r="I40" s="43"/>
      <c r="J40" s="45"/>
    </row>
    <row r="41" spans="1:10">
      <c r="A41" s="41">
        <v>33</v>
      </c>
      <c r="B41" s="46">
        <v>46050</v>
      </c>
      <c r="C41" s="42" t="s">
        <v>1841</v>
      </c>
      <c r="D41" s="42" t="s">
        <v>1842</v>
      </c>
      <c r="E41" s="43"/>
      <c r="F41" s="44"/>
      <c r="G41" s="43"/>
      <c r="H41" s="44">
        <v>92925000</v>
      </c>
      <c r="I41" s="43"/>
      <c r="J41" s="45"/>
    </row>
    <row r="42" spans="1:10" ht="23.6">
      <c r="A42" s="41">
        <v>34</v>
      </c>
      <c r="B42" s="46">
        <v>46050</v>
      </c>
      <c r="C42" s="42" t="s">
        <v>1843</v>
      </c>
      <c r="D42" s="53" t="s">
        <v>2062</v>
      </c>
      <c r="E42" s="43"/>
      <c r="F42" s="44"/>
      <c r="G42" s="43"/>
      <c r="H42" s="44">
        <v>11284000</v>
      </c>
      <c r="I42" s="43"/>
      <c r="J42" s="45"/>
    </row>
    <row r="43" spans="1:10" s="9" customFormat="1" ht="12.45">
      <c r="A43" s="41">
        <v>35</v>
      </c>
      <c r="B43" s="46">
        <v>46050</v>
      </c>
      <c r="C43" s="42" t="s">
        <v>1844</v>
      </c>
      <c r="D43" s="42" t="s">
        <v>1782</v>
      </c>
      <c r="E43" s="43"/>
      <c r="F43" s="44"/>
      <c r="G43" s="43"/>
      <c r="H43" s="44">
        <v>9808000</v>
      </c>
      <c r="I43" s="43"/>
      <c r="J43" s="45"/>
    </row>
    <row r="44" spans="1:10">
      <c r="A44" s="41">
        <v>36</v>
      </c>
      <c r="B44" s="46">
        <v>46050</v>
      </c>
      <c r="C44" s="42" t="s">
        <v>1845</v>
      </c>
      <c r="D44" s="42" t="s">
        <v>1724</v>
      </c>
      <c r="E44" s="43"/>
      <c r="F44" s="44"/>
      <c r="G44" s="43"/>
      <c r="H44" s="44">
        <v>8000000</v>
      </c>
      <c r="I44" s="43"/>
      <c r="J44" s="45"/>
    </row>
    <row r="45" spans="1:10">
      <c r="A45" s="41">
        <v>37</v>
      </c>
      <c r="B45" s="46">
        <v>46050</v>
      </c>
      <c r="C45" s="42" t="s">
        <v>1846</v>
      </c>
      <c r="D45" s="42" t="s">
        <v>1847</v>
      </c>
      <c r="E45" s="43"/>
      <c r="F45" s="44"/>
      <c r="G45" s="43"/>
      <c r="H45" s="44">
        <v>2633000</v>
      </c>
      <c r="I45" s="43"/>
      <c r="J45" s="45"/>
    </row>
    <row r="46" spans="1:10" ht="13.3" thickBot="1">
      <c r="A46" s="47"/>
      <c r="B46" s="48"/>
      <c r="C46" s="48"/>
      <c r="D46" s="48" t="s">
        <v>4</v>
      </c>
      <c r="E46" s="50"/>
      <c r="F46" s="49"/>
      <c r="G46" s="50">
        <v>26769.83</v>
      </c>
      <c r="H46" s="49">
        <v>124650000</v>
      </c>
      <c r="I46" s="50">
        <v>62919.74</v>
      </c>
      <c r="J46" s="51">
        <f>J7+F8-H46</f>
        <v>175667852</v>
      </c>
    </row>
    <row r="48" spans="1:10">
      <c r="H48" s="10" t="s">
        <v>14</v>
      </c>
    </row>
    <row r="49" spans="8:8">
      <c r="H49" s="11" t="s">
        <v>15</v>
      </c>
    </row>
    <row r="84" spans="52:52">
      <c r="AZ84" s="1" t="s">
        <v>5</v>
      </c>
    </row>
  </sheetData>
  <mergeCells count="9">
    <mergeCell ref="A1:E2"/>
    <mergeCell ref="A3:J4"/>
    <mergeCell ref="A5:A6"/>
    <mergeCell ref="B5:B6"/>
    <mergeCell ref="C5:C6"/>
    <mergeCell ref="D5:D6"/>
    <mergeCell ref="E5:F5"/>
    <mergeCell ref="G5:H5"/>
    <mergeCell ref="I5:J5"/>
  </mergeCells>
  <pageMargins left="0.5" right="0" top="0.5" bottom="0.5" header="0" footer="0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BE7A6-E9A9-45BB-AFED-3F2F26F125BC}">
  <sheetPr>
    <tabColor rgb="FFFFFF00"/>
  </sheetPr>
  <dimension ref="A1:AZ84"/>
  <sheetViews>
    <sheetView topLeftCell="A10" zoomScale="85" zoomScaleNormal="85" workbookViewId="0">
      <selection activeCell="E15" sqref="E15"/>
    </sheetView>
  </sheetViews>
  <sheetFormatPr defaultColWidth="9.15234375" defaultRowHeight="12.9"/>
  <cols>
    <col min="1" max="1" width="4.61328125" style="1" bestFit="1" customWidth="1"/>
    <col min="2" max="2" width="6.84375" style="1" bestFit="1" customWidth="1"/>
    <col min="3" max="3" width="10.23046875" style="6" bestFit="1" customWidth="1"/>
    <col min="4" max="4" width="20.07421875" style="69" customWidth="1"/>
    <col min="5" max="5" width="8.4609375" style="7" bestFit="1" customWidth="1"/>
    <col min="6" max="6" width="10.15234375" style="1" bestFit="1" customWidth="1"/>
    <col min="7" max="7" width="8.4609375" style="1" bestFit="1" customWidth="1"/>
    <col min="8" max="8" width="9.3046875" style="1" bestFit="1" customWidth="1"/>
    <col min="9" max="9" width="8.4609375" style="1" bestFit="1" customWidth="1"/>
    <col min="10" max="10" width="10.15234375" style="1" bestFit="1" customWidth="1"/>
    <col min="11" max="16384" width="9.15234375" style="1"/>
  </cols>
  <sheetData>
    <row r="1" spans="1:52" ht="28.3" customHeight="1">
      <c r="A1" s="79" t="s">
        <v>17</v>
      </c>
      <c r="B1" s="80"/>
      <c r="C1" s="80"/>
      <c r="D1" s="80"/>
      <c r="E1" s="80"/>
    </row>
    <row r="2" spans="1:52" ht="28.3" customHeight="1">
      <c r="A2" s="80"/>
      <c r="B2" s="80"/>
      <c r="C2" s="80"/>
      <c r="D2" s="80"/>
      <c r="E2" s="80"/>
    </row>
    <row r="3" spans="1:52">
      <c r="A3" s="81" t="s">
        <v>11</v>
      </c>
      <c r="B3" s="81"/>
      <c r="C3" s="81"/>
      <c r="D3" s="81"/>
      <c r="E3" s="81"/>
      <c r="F3" s="81"/>
      <c r="G3" s="81"/>
      <c r="H3" s="81"/>
      <c r="I3" s="81"/>
      <c r="J3" s="81"/>
      <c r="AS3" s="2">
        <v>43921</v>
      </c>
      <c r="AZ3" s="1">
        <f>(AQ3-4)*20000</f>
        <v>-80000</v>
      </c>
    </row>
    <row r="4" spans="1:52" ht="13.3" thickBot="1">
      <c r="A4" s="81"/>
      <c r="B4" s="81"/>
      <c r="C4" s="81"/>
      <c r="D4" s="81"/>
      <c r="E4" s="81"/>
      <c r="F4" s="81"/>
      <c r="G4" s="81"/>
      <c r="H4" s="81"/>
      <c r="I4" s="81"/>
      <c r="J4" s="81"/>
    </row>
    <row r="5" spans="1:52">
      <c r="A5" s="90" t="s">
        <v>0</v>
      </c>
      <c r="B5" s="92" t="s">
        <v>9</v>
      </c>
      <c r="C5" s="96" t="s">
        <v>1</v>
      </c>
      <c r="D5" s="84" t="s">
        <v>10</v>
      </c>
      <c r="E5" s="94" t="s">
        <v>13</v>
      </c>
      <c r="F5" s="94"/>
      <c r="G5" s="94" t="s">
        <v>8</v>
      </c>
      <c r="H5" s="94"/>
      <c r="I5" s="94" t="s">
        <v>7</v>
      </c>
      <c r="J5" s="95"/>
    </row>
    <row r="6" spans="1:52">
      <c r="A6" s="91"/>
      <c r="B6" s="93"/>
      <c r="C6" s="97"/>
      <c r="D6" s="85"/>
      <c r="E6" s="3" t="s">
        <v>2</v>
      </c>
      <c r="F6" s="4" t="s">
        <v>6</v>
      </c>
      <c r="G6" s="4" t="s">
        <v>2</v>
      </c>
      <c r="H6" s="4" t="s">
        <v>6</v>
      </c>
      <c r="I6" s="4" t="s">
        <v>2</v>
      </c>
      <c r="J6" s="8" t="s">
        <v>6</v>
      </c>
    </row>
    <row r="7" spans="1:52">
      <c r="A7" s="41"/>
      <c r="B7" s="42"/>
      <c r="C7" s="42"/>
      <c r="D7" s="62" t="s">
        <v>12</v>
      </c>
      <c r="E7" s="43"/>
      <c r="F7" s="44"/>
      <c r="G7" s="43"/>
      <c r="H7" s="44"/>
      <c r="I7" s="43">
        <v>62919.74</v>
      </c>
      <c r="J7" s="45">
        <v>175667852</v>
      </c>
    </row>
    <row r="8" spans="1:52">
      <c r="A8" s="41"/>
      <c r="B8" s="42"/>
      <c r="C8" s="42"/>
      <c r="D8" s="62" t="s">
        <v>16</v>
      </c>
      <c r="E8" s="43">
        <v>26769</v>
      </c>
      <c r="F8" s="44">
        <f>124650000+20086</f>
        <v>124670086</v>
      </c>
      <c r="G8" s="43"/>
      <c r="H8" s="44"/>
      <c r="I8" s="43"/>
      <c r="J8" s="45"/>
    </row>
    <row r="9" spans="1:52">
      <c r="A9" s="41">
        <v>1</v>
      </c>
      <c r="B9" s="46">
        <v>46051</v>
      </c>
      <c r="C9" s="42" t="s">
        <v>1848</v>
      </c>
      <c r="D9" s="62" t="s">
        <v>1049</v>
      </c>
      <c r="E9" s="43"/>
      <c r="F9" s="44"/>
      <c r="G9" s="43">
        <v>1900</v>
      </c>
      <c r="H9" s="44"/>
      <c r="I9" s="43"/>
      <c r="J9" s="45"/>
    </row>
    <row r="10" spans="1:52">
      <c r="A10" s="41">
        <v>2</v>
      </c>
      <c r="B10" s="46">
        <v>46051</v>
      </c>
      <c r="C10" s="42" t="s">
        <v>1849</v>
      </c>
      <c r="D10" s="62" t="s">
        <v>1850</v>
      </c>
      <c r="E10" s="43"/>
      <c r="F10" s="44"/>
      <c r="G10" s="43">
        <v>300</v>
      </c>
      <c r="H10" s="44"/>
      <c r="I10" s="43"/>
      <c r="J10" s="45"/>
      <c r="AX10" s="5" t="s">
        <v>3</v>
      </c>
    </row>
    <row r="11" spans="1:52">
      <c r="A11" s="41">
        <v>3</v>
      </c>
      <c r="B11" s="46">
        <v>46051</v>
      </c>
      <c r="C11" s="42" t="s">
        <v>1851</v>
      </c>
      <c r="D11" s="62" t="s">
        <v>1852</v>
      </c>
      <c r="E11" s="43"/>
      <c r="F11" s="44"/>
      <c r="G11" s="43">
        <v>650</v>
      </c>
      <c r="H11" s="44"/>
      <c r="I11" s="43"/>
      <c r="J11" s="45"/>
    </row>
    <row r="12" spans="1:52">
      <c r="A12" s="41">
        <v>4</v>
      </c>
      <c r="B12" s="46">
        <v>46051</v>
      </c>
      <c r="C12" s="42" t="s">
        <v>1853</v>
      </c>
      <c r="D12" s="62" t="s">
        <v>1854</v>
      </c>
      <c r="E12" s="43"/>
      <c r="F12" s="44"/>
      <c r="G12" s="43">
        <v>200</v>
      </c>
      <c r="H12" s="44"/>
      <c r="I12" s="43"/>
      <c r="J12" s="45"/>
    </row>
    <row r="13" spans="1:52">
      <c r="A13" s="41">
        <v>5</v>
      </c>
      <c r="B13" s="46">
        <v>46051</v>
      </c>
      <c r="C13" s="42" t="s">
        <v>1855</v>
      </c>
      <c r="D13" s="62" t="s">
        <v>1856</v>
      </c>
      <c r="E13" s="43"/>
      <c r="F13" s="44"/>
      <c r="G13" s="43">
        <v>450</v>
      </c>
      <c r="H13" s="44"/>
      <c r="I13" s="43"/>
      <c r="J13" s="45"/>
    </row>
    <row r="14" spans="1:52">
      <c r="A14" s="41">
        <v>6</v>
      </c>
      <c r="B14" s="46">
        <v>46051</v>
      </c>
      <c r="C14" s="42" t="s">
        <v>1857</v>
      </c>
      <c r="D14" s="62" t="s">
        <v>281</v>
      </c>
      <c r="E14" s="43"/>
      <c r="F14" s="44"/>
      <c r="G14" s="43">
        <v>192.14</v>
      </c>
      <c r="H14" s="44"/>
      <c r="I14" s="43"/>
      <c r="J14" s="45"/>
    </row>
    <row r="15" spans="1:52">
      <c r="A15" s="41">
        <v>7</v>
      </c>
      <c r="B15" s="46">
        <v>46051</v>
      </c>
      <c r="C15" s="42" t="s">
        <v>1858</v>
      </c>
      <c r="D15" s="62" t="s">
        <v>1414</v>
      </c>
      <c r="E15" s="43"/>
      <c r="F15" s="44"/>
      <c r="G15" s="43">
        <v>398.63</v>
      </c>
      <c r="H15" s="44"/>
      <c r="I15" s="43"/>
      <c r="J15" s="45"/>
    </row>
    <row r="16" spans="1:52">
      <c r="A16" s="41">
        <v>8</v>
      </c>
      <c r="B16" s="46">
        <v>46051</v>
      </c>
      <c r="C16" s="42" t="s">
        <v>1859</v>
      </c>
      <c r="D16" s="62" t="s">
        <v>1860</v>
      </c>
      <c r="E16" s="43"/>
      <c r="F16" s="44"/>
      <c r="G16" s="43">
        <v>1500</v>
      </c>
      <c r="H16" s="44"/>
      <c r="I16" s="43"/>
      <c r="J16" s="45"/>
    </row>
    <row r="17" spans="1:10">
      <c r="A17" s="41">
        <v>9</v>
      </c>
      <c r="B17" s="46">
        <v>46051</v>
      </c>
      <c r="C17" s="42" t="s">
        <v>1861</v>
      </c>
      <c r="D17" s="62" t="s">
        <v>145</v>
      </c>
      <c r="E17" s="43"/>
      <c r="F17" s="44"/>
      <c r="G17" s="43">
        <v>325.36</v>
      </c>
      <c r="H17" s="44"/>
      <c r="I17" s="43"/>
      <c r="J17" s="45"/>
    </row>
    <row r="18" spans="1:10">
      <c r="A18" s="41">
        <v>10</v>
      </c>
      <c r="B18" s="46">
        <v>46051</v>
      </c>
      <c r="C18" s="42" t="s">
        <v>1862</v>
      </c>
      <c r="D18" s="62" t="s">
        <v>1146</v>
      </c>
      <c r="E18" s="43"/>
      <c r="F18" s="44"/>
      <c r="G18" s="43">
        <v>2500</v>
      </c>
      <c r="H18" s="44"/>
      <c r="I18" s="43"/>
      <c r="J18" s="45"/>
    </row>
    <row r="19" spans="1:10">
      <c r="A19" s="41">
        <v>11</v>
      </c>
      <c r="B19" s="46">
        <v>46051</v>
      </c>
      <c r="C19" s="42" t="s">
        <v>1863</v>
      </c>
      <c r="D19" s="62" t="s">
        <v>1306</v>
      </c>
      <c r="E19" s="43"/>
      <c r="F19" s="44"/>
      <c r="G19" s="43">
        <v>74.599999999999994</v>
      </c>
      <c r="H19" s="44"/>
      <c r="I19" s="43"/>
      <c r="J19" s="45"/>
    </row>
    <row r="20" spans="1:10">
      <c r="A20" s="41">
        <v>12</v>
      </c>
      <c r="B20" s="46">
        <v>46051</v>
      </c>
      <c r="C20" s="42" t="s">
        <v>1864</v>
      </c>
      <c r="D20" s="62" t="s">
        <v>1698</v>
      </c>
      <c r="E20" s="43"/>
      <c r="F20" s="44"/>
      <c r="G20" s="43">
        <v>700</v>
      </c>
      <c r="H20" s="44"/>
      <c r="I20" s="43"/>
      <c r="J20" s="45"/>
    </row>
    <row r="21" spans="1:10">
      <c r="A21" s="41">
        <v>13</v>
      </c>
      <c r="B21" s="46">
        <v>46051</v>
      </c>
      <c r="C21" s="42" t="s">
        <v>1865</v>
      </c>
      <c r="D21" s="62" t="s">
        <v>984</v>
      </c>
      <c r="E21" s="43"/>
      <c r="F21" s="44"/>
      <c r="G21" s="43">
        <v>191.06</v>
      </c>
      <c r="H21" s="44"/>
      <c r="I21" s="43"/>
      <c r="J21" s="45"/>
    </row>
    <row r="22" spans="1:10">
      <c r="A22" s="41">
        <v>14</v>
      </c>
      <c r="B22" s="46">
        <v>46051</v>
      </c>
      <c r="C22" s="42" t="s">
        <v>1866</v>
      </c>
      <c r="D22" s="62" t="s">
        <v>1867</v>
      </c>
      <c r="E22" s="43"/>
      <c r="F22" s="44"/>
      <c r="G22" s="43">
        <v>1000</v>
      </c>
      <c r="H22" s="44"/>
      <c r="I22" s="43"/>
      <c r="J22" s="45"/>
    </row>
    <row r="23" spans="1:10">
      <c r="A23" s="41">
        <v>15</v>
      </c>
      <c r="B23" s="46">
        <v>46051</v>
      </c>
      <c r="C23" s="42" t="s">
        <v>1868</v>
      </c>
      <c r="D23" s="62" t="s">
        <v>1869</v>
      </c>
      <c r="E23" s="43"/>
      <c r="F23" s="44"/>
      <c r="G23" s="43">
        <v>900</v>
      </c>
      <c r="H23" s="44"/>
      <c r="I23" s="43"/>
      <c r="J23" s="45"/>
    </row>
    <row r="24" spans="1:10">
      <c r="A24" s="41">
        <v>16</v>
      </c>
      <c r="B24" s="46">
        <v>46051</v>
      </c>
      <c r="C24" s="42" t="s">
        <v>1870</v>
      </c>
      <c r="D24" s="62" t="s">
        <v>831</v>
      </c>
      <c r="E24" s="43"/>
      <c r="F24" s="44"/>
      <c r="G24" s="43">
        <v>1000</v>
      </c>
      <c r="H24" s="44"/>
      <c r="I24" s="43"/>
      <c r="J24" s="45"/>
    </row>
    <row r="25" spans="1:10">
      <c r="A25" s="41">
        <v>17</v>
      </c>
      <c r="B25" s="46">
        <v>46051</v>
      </c>
      <c r="C25" s="42" t="s">
        <v>1871</v>
      </c>
      <c r="D25" s="62" t="s">
        <v>1872</v>
      </c>
      <c r="E25" s="43"/>
      <c r="F25" s="44"/>
      <c r="G25" s="43">
        <v>300</v>
      </c>
      <c r="H25" s="44"/>
      <c r="I25" s="43"/>
      <c r="J25" s="45"/>
    </row>
    <row r="26" spans="1:10">
      <c r="A26" s="41">
        <v>18</v>
      </c>
      <c r="B26" s="46">
        <v>46051</v>
      </c>
      <c r="C26" s="42" t="s">
        <v>1873</v>
      </c>
      <c r="D26" s="62" t="s">
        <v>1874</v>
      </c>
      <c r="E26" s="43"/>
      <c r="F26" s="44"/>
      <c r="G26" s="43">
        <v>216.24</v>
      </c>
      <c r="H26" s="44"/>
      <c r="I26" s="43"/>
      <c r="J26" s="45"/>
    </row>
    <row r="27" spans="1:10">
      <c r="A27" s="41">
        <v>19</v>
      </c>
      <c r="B27" s="46">
        <v>46051</v>
      </c>
      <c r="C27" s="42" t="s">
        <v>1875</v>
      </c>
      <c r="D27" s="62" t="s">
        <v>57</v>
      </c>
      <c r="E27" s="43"/>
      <c r="F27" s="44"/>
      <c r="G27" s="43">
        <v>400</v>
      </c>
      <c r="H27" s="44"/>
      <c r="I27" s="43"/>
      <c r="J27" s="45"/>
    </row>
    <row r="28" spans="1:10">
      <c r="A28" s="41">
        <v>20</v>
      </c>
      <c r="B28" s="46">
        <v>46051</v>
      </c>
      <c r="C28" s="42" t="s">
        <v>1876</v>
      </c>
      <c r="D28" s="62" t="s">
        <v>1877</v>
      </c>
      <c r="E28" s="43"/>
      <c r="F28" s="44"/>
      <c r="G28" s="43">
        <v>379.96</v>
      </c>
      <c r="H28" s="44"/>
      <c r="I28" s="43"/>
      <c r="J28" s="45"/>
    </row>
    <row r="29" spans="1:10" s="9" customFormat="1" ht="12.45">
      <c r="A29" s="41">
        <v>21</v>
      </c>
      <c r="B29" s="46">
        <v>46051</v>
      </c>
      <c r="C29" s="42" t="s">
        <v>1878</v>
      </c>
      <c r="D29" s="62" t="s">
        <v>1879</v>
      </c>
      <c r="E29" s="43"/>
      <c r="F29" s="44"/>
      <c r="G29" s="43">
        <v>200</v>
      </c>
      <c r="H29" s="44"/>
      <c r="I29" s="43"/>
      <c r="J29" s="45"/>
    </row>
    <row r="30" spans="1:10">
      <c r="A30" s="41">
        <v>22</v>
      </c>
      <c r="B30" s="46">
        <v>46051</v>
      </c>
      <c r="C30" s="42" t="s">
        <v>1880</v>
      </c>
      <c r="D30" s="62" t="s">
        <v>1881</v>
      </c>
      <c r="E30" s="43"/>
      <c r="F30" s="44"/>
      <c r="G30" s="43">
        <v>2000</v>
      </c>
      <c r="H30" s="44"/>
      <c r="I30" s="43"/>
      <c r="J30" s="45"/>
    </row>
    <row r="31" spans="1:10">
      <c r="A31" s="41">
        <v>23</v>
      </c>
      <c r="B31" s="46">
        <v>46051</v>
      </c>
      <c r="C31" s="42" t="s">
        <v>1882</v>
      </c>
      <c r="D31" s="62" t="s">
        <v>1883</v>
      </c>
      <c r="E31" s="43"/>
      <c r="F31" s="44"/>
      <c r="G31" s="43">
        <v>2999.62</v>
      </c>
      <c r="H31" s="44"/>
      <c r="I31" s="43"/>
      <c r="J31" s="45"/>
    </row>
    <row r="32" spans="1:10">
      <c r="A32" s="41">
        <v>24</v>
      </c>
      <c r="B32" s="46">
        <v>46051</v>
      </c>
      <c r="C32" s="42" t="s">
        <v>1884</v>
      </c>
      <c r="D32" s="62" t="s">
        <v>1684</v>
      </c>
      <c r="E32" s="43"/>
      <c r="F32" s="44"/>
      <c r="G32" s="43">
        <v>900</v>
      </c>
      <c r="H32" s="44"/>
      <c r="I32" s="43"/>
      <c r="J32" s="45"/>
    </row>
    <row r="33" spans="1:10">
      <c r="A33" s="41">
        <v>25</v>
      </c>
      <c r="B33" s="46">
        <v>46051</v>
      </c>
      <c r="C33" s="42" t="s">
        <v>1885</v>
      </c>
      <c r="D33" s="62" t="s">
        <v>376</v>
      </c>
      <c r="E33" s="43"/>
      <c r="F33" s="44"/>
      <c r="G33" s="43">
        <v>800</v>
      </c>
      <c r="H33" s="44"/>
      <c r="I33" s="43"/>
      <c r="J33" s="45"/>
    </row>
    <row r="34" spans="1:10">
      <c r="A34" s="41">
        <v>26</v>
      </c>
      <c r="B34" s="46">
        <v>46051</v>
      </c>
      <c r="C34" s="42" t="s">
        <v>1886</v>
      </c>
      <c r="D34" s="62" t="s">
        <v>1887</v>
      </c>
      <c r="E34" s="43"/>
      <c r="F34" s="44"/>
      <c r="G34" s="43">
        <v>1116.56</v>
      </c>
      <c r="H34" s="44"/>
      <c r="I34" s="43"/>
      <c r="J34" s="45"/>
    </row>
    <row r="35" spans="1:10">
      <c r="A35" s="41">
        <v>27</v>
      </c>
      <c r="B35" s="46">
        <v>46051</v>
      </c>
      <c r="C35" s="42" t="s">
        <v>1888</v>
      </c>
      <c r="D35" s="62" t="s">
        <v>1889</v>
      </c>
      <c r="E35" s="43"/>
      <c r="F35" s="44"/>
      <c r="G35" s="43">
        <v>118.8</v>
      </c>
      <c r="H35" s="44"/>
      <c r="I35" s="43"/>
      <c r="J35" s="45"/>
    </row>
    <row r="36" spans="1:10">
      <c r="A36" s="41">
        <v>28</v>
      </c>
      <c r="B36" s="46">
        <v>46051</v>
      </c>
      <c r="C36" s="42" t="s">
        <v>1890</v>
      </c>
      <c r="D36" s="62" t="s">
        <v>1891</v>
      </c>
      <c r="E36" s="43"/>
      <c r="F36" s="44"/>
      <c r="G36" s="43">
        <v>191.35</v>
      </c>
      <c r="H36" s="44"/>
      <c r="I36" s="43"/>
      <c r="J36" s="45"/>
    </row>
    <row r="37" spans="1:10">
      <c r="A37" s="41">
        <v>29</v>
      </c>
      <c r="B37" s="46">
        <v>46051</v>
      </c>
      <c r="C37" s="42" t="s">
        <v>1892</v>
      </c>
      <c r="D37" s="62" t="s">
        <v>531</v>
      </c>
      <c r="E37" s="43"/>
      <c r="F37" s="44"/>
      <c r="G37" s="43">
        <v>500</v>
      </c>
      <c r="H37" s="44"/>
      <c r="I37" s="43"/>
      <c r="J37" s="45"/>
    </row>
    <row r="38" spans="1:10">
      <c r="A38" s="41">
        <v>30</v>
      </c>
      <c r="B38" s="46">
        <v>46051</v>
      </c>
      <c r="C38" s="42" t="s">
        <v>1893</v>
      </c>
      <c r="D38" s="62" t="s">
        <v>531</v>
      </c>
      <c r="E38" s="43"/>
      <c r="F38" s="44"/>
      <c r="G38" s="43">
        <v>500</v>
      </c>
      <c r="H38" s="44"/>
      <c r="I38" s="43"/>
      <c r="J38" s="45"/>
    </row>
    <row r="39" spans="1:10">
      <c r="A39" s="41">
        <v>31</v>
      </c>
      <c r="B39" s="46">
        <v>46051</v>
      </c>
      <c r="C39" s="42" t="s">
        <v>1894</v>
      </c>
      <c r="D39" s="62" t="s">
        <v>1895</v>
      </c>
      <c r="E39" s="43"/>
      <c r="F39" s="44"/>
      <c r="G39" s="43">
        <v>1952.16</v>
      </c>
      <c r="H39" s="44"/>
      <c r="I39" s="43"/>
      <c r="J39" s="45"/>
    </row>
    <row r="40" spans="1:10">
      <c r="A40" s="41">
        <v>32</v>
      </c>
      <c r="B40" s="46">
        <v>46051</v>
      </c>
      <c r="C40" s="42" t="s">
        <v>1896</v>
      </c>
      <c r="D40" s="62" t="s">
        <v>1897</v>
      </c>
      <c r="E40" s="43"/>
      <c r="F40" s="44"/>
      <c r="G40" s="43">
        <v>1300.6300000000001</v>
      </c>
      <c r="H40" s="44"/>
      <c r="I40" s="43"/>
      <c r="J40" s="45"/>
    </row>
    <row r="41" spans="1:10">
      <c r="A41" s="41">
        <v>33</v>
      </c>
      <c r="B41" s="46">
        <v>46051</v>
      </c>
      <c r="C41" s="42" t="s">
        <v>1898</v>
      </c>
      <c r="D41" s="62" t="s">
        <v>1897</v>
      </c>
      <c r="E41" s="43"/>
      <c r="F41" s="44"/>
      <c r="G41" s="43">
        <v>1305.1500000000001</v>
      </c>
      <c r="H41" s="44"/>
      <c r="I41" s="43"/>
      <c r="J41" s="45"/>
    </row>
    <row r="42" spans="1:10">
      <c r="A42" s="41">
        <v>34</v>
      </c>
      <c r="B42" s="46">
        <v>46051</v>
      </c>
      <c r="C42" s="42" t="s">
        <v>1899</v>
      </c>
      <c r="D42" s="62" t="s">
        <v>928</v>
      </c>
      <c r="E42" s="43"/>
      <c r="F42" s="44"/>
      <c r="G42" s="43">
        <v>1428</v>
      </c>
      <c r="H42" s="44"/>
      <c r="I42" s="43"/>
      <c r="J42" s="45"/>
    </row>
    <row r="43" spans="1:10" s="9" customFormat="1" ht="12.45">
      <c r="A43" s="41">
        <v>35</v>
      </c>
      <c r="B43" s="46">
        <v>46051</v>
      </c>
      <c r="C43" s="42" t="s">
        <v>1900</v>
      </c>
      <c r="D43" s="62" t="s">
        <v>1901</v>
      </c>
      <c r="E43" s="43"/>
      <c r="F43" s="44"/>
      <c r="G43" s="43">
        <v>202.71</v>
      </c>
      <c r="H43" s="44"/>
      <c r="I43" s="43"/>
      <c r="J43" s="45"/>
    </row>
    <row r="44" spans="1:10">
      <c r="A44" s="41">
        <v>36</v>
      </c>
      <c r="B44" s="46">
        <v>46051</v>
      </c>
      <c r="C44" s="42" t="s">
        <v>1902</v>
      </c>
      <c r="D44" s="62" t="s">
        <v>1903</v>
      </c>
      <c r="E44" s="43"/>
      <c r="F44" s="44"/>
      <c r="G44" s="43">
        <v>400</v>
      </c>
      <c r="H44" s="44"/>
      <c r="I44" s="43"/>
      <c r="J44" s="45"/>
    </row>
    <row r="45" spans="1:10">
      <c r="A45" s="41">
        <v>37</v>
      </c>
      <c r="B45" s="46">
        <v>46051</v>
      </c>
      <c r="C45" s="42" t="s">
        <v>1904</v>
      </c>
      <c r="D45" s="62" t="s">
        <v>864</v>
      </c>
      <c r="E45" s="43"/>
      <c r="F45" s="44"/>
      <c r="G45" s="43">
        <v>1200</v>
      </c>
      <c r="H45" s="44"/>
      <c r="I45" s="43"/>
      <c r="J45" s="45"/>
    </row>
    <row r="46" spans="1:10">
      <c r="A46" s="41">
        <v>38</v>
      </c>
      <c r="B46" s="46">
        <v>46051</v>
      </c>
      <c r="C46" s="42" t="s">
        <v>1905</v>
      </c>
      <c r="D46" s="62" t="s">
        <v>133</v>
      </c>
      <c r="E46" s="43"/>
      <c r="F46" s="44"/>
      <c r="G46" s="43">
        <v>775.06</v>
      </c>
      <c r="H46" s="44"/>
      <c r="I46" s="43"/>
      <c r="J46" s="45"/>
    </row>
    <row r="47" spans="1:10">
      <c r="A47" s="41">
        <v>39</v>
      </c>
      <c r="B47" s="46">
        <v>46051</v>
      </c>
      <c r="C47" s="42" t="s">
        <v>1906</v>
      </c>
      <c r="D47" s="62" t="s">
        <v>960</v>
      </c>
      <c r="E47" s="43"/>
      <c r="F47" s="44"/>
      <c r="G47" s="43">
        <v>829.36</v>
      </c>
      <c r="H47" s="44"/>
      <c r="I47" s="43"/>
      <c r="J47" s="45"/>
    </row>
    <row r="48" spans="1:10">
      <c r="A48" s="41">
        <v>40</v>
      </c>
      <c r="B48" s="46">
        <v>46051</v>
      </c>
      <c r="C48" s="42" t="s">
        <v>1907</v>
      </c>
      <c r="D48" s="62" t="s">
        <v>394</v>
      </c>
      <c r="E48" s="43"/>
      <c r="F48" s="44"/>
      <c r="G48" s="43">
        <v>2000</v>
      </c>
      <c r="H48" s="44"/>
      <c r="I48" s="43"/>
      <c r="J48" s="45"/>
    </row>
    <row r="49" spans="1:10">
      <c r="A49" s="41">
        <v>41</v>
      </c>
      <c r="B49" s="46">
        <v>46051</v>
      </c>
      <c r="C49" s="42" t="s">
        <v>1908</v>
      </c>
      <c r="D49" s="62" t="s">
        <v>1909</v>
      </c>
      <c r="E49" s="43"/>
      <c r="F49" s="44"/>
      <c r="G49" s="43">
        <v>3000</v>
      </c>
      <c r="H49" s="44"/>
      <c r="I49" s="43"/>
      <c r="J49" s="45"/>
    </row>
    <row r="50" spans="1:10">
      <c r="A50" s="41">
        <v>42</v>
      </c>
      <c r="B50" s="46">
        <v>46051</v>
      </c>
      <c r="C50" s="42" t="s">
        <v>1910</v>
      </c>
      <c r="D50" s="62" t="s">
        <v>795</v>
      </c>
      <c r="E50" s="43"/>
      <c r="F50" s="44"/>
      <c r="G50" s="43">
        <v>75</v>
      </c>
      <c r="H50" s="44"/>
      <c r="I50" s="43"/>
      <c r="J50" s="45"/>
    </row>
    <row r="51" spans="1:10">
      <c r="A51" s="41">
        <v>43</v>
      </c>
      <c r="B51" s="46">
        <v>46051</v>
      </c>
      <c r="C51" s="42" t="s">
        <v>1911</v>
      </c>
      <c r="D51" s="62" t="s">
        <v>1912</v>
      </c>
      <c r="E51" s="43"/>
      <c r="F51" s="44"/>
      <c r="G51" s="43">
        <v>1500</v>
      </c>
      <c r="H51" s="44"/>
      <c r="I51" s="43"/>
      <c r="J51" s="45"/>
    </row>
    <row r="52" spans="1:10">
      <c r="A52" s="41">
        <v>44</v>
      </c>
      <c r="B52" s="46">
        <v>46051</v>
      </c>
      <c r="C52" s="42" t="s">
        <v>1913</v>
      </c>
      <c r="D52" s="62" t="s">
        <v>188</v>
      </c>
      <c r="E52" s="43"/>
      <c r="F52" s="44"/>
      <c r="G52" s="43"/>
      <c r="H52" s="44">
        <v>7400000</v>
      </c>
      <c r="I52" s="43"/>
      <c r="J52" s="45"/>
    </row>
    <row r="53" spans="1:10">
      <c r="A53" s="41">
        <v>45</v>
      </c>
      <c r="B53" s="46">
        <v>46051</v>
      </c>
      <c r="C53" s="42" t="s">
        <v>1914</v>
      </c>
      <c r="D53" s="62" t="s">
        <v>1915</v>
      </c>
      <c r="E53" s="43"/>
      <c r="F53" s="44"/>
      <c r="G53" s="43"/>
      <c r="H53" s="44">
        <v>2112000</v>
      </c>
      <c r="I53" s="43"/>
      <c r="J53" s="45"/>
    </row>
    <row r="54" spans="1:10">
      <c r="A54" s="41">
        <v>46</v>
      </c>
      <c r="B54" s="46">
        <v>46051</v>
      </c>
      <c r="C54" s="42" t="s">
        <v>1916</v>
      </c>
      <c r="D54" s="62" t="s">
        <v>1917</v>
      </c>
      <c r="E54" s="43"/>
      <c r="F54" s="44"/>
      <c r="G54" s="43"/>
      <c r="H54" s="44">
        <v>854000</v>
      </c>
      <c r="I54" s="43"/>
      <c r="J54" s="45"/>
    </row>
    <row r="55" spans="1:10" s="9" customFormat="1" thickBot="1">
      <c r="A55" s="47"/>
      <c r="B55" s="48"/>
      <c r="C55" s="48"/>
      <c r="D55" s="68" t="s">
        <v>4</v>
      </c>
      <c r="E55" s="50"/>
      <c r="F55" s="49"/>
      <c r="G55" s="50">
        <v>38872.39</v>
      </c>
      <c r="H55" s="49">
        <v>10366000</v>
      </c>
      <c r="I55" s="50">
        <v>50816.35</v>
      </c>
      <c r="J55" s="51">
        <f>J7+F8-H55</f>
        <v>289971938</v>
      </c>
    </row>
    <row r="57" spans="1:10">
      <c r="H57" s="10" t="s">
        <v>14</v>
      </c>
    </row>
    <row r="58" spans="1:10">
      <c r="H58" s="11" t="s">
        <v>15</v>
      </c>
    </row>
    <row r="84" spans="52:52">
      <c r="AZ84" s="1" t="s">
        <v>5</v>
      </c>
    </row>
  </sheetData>
  <mergeCells count="9">
    <mergeCell ref="A1:E2"/>
    <mergeCell ref="A3:J4"/>
    <mergeCell ref="A5:A6"/>
    <mergeCell ref="B5:B6"/>
    <mergeCell ref="C5:C6"/>
    <mergeCell ref="D5:D6"/>
    <mergeCell ref="E5:F5"/>
    <mergeCell ref="G5:H5"/>
    <mergeCell ref="I5:J5"/>
  </mergeCells>
  <pageMargins left="0.5" right="0" top="0.5" bottom="0.5" header="0" footer="0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BCA82-50CA-4167-A3CE-5CA62B4A2E47}">
  <sheetPr>
    <tabColor rgb="FFFFFF00"/>
  </sheetPr>
  <dimension ref="A1:AZ84"/>
  <sheetViews>
    <sheetView tabSelected="1" topLeftCell="A43" zoomScale="85" zoomScaleNormal="85" workbookViewId="0">
      <selection activeCell="J57" sqref="J57"/>
    </sheetView>
  </sheetViews>
  <sheetFormatPr defaultColWidth="9.15234375" defaultRowHeight="12.9"/>
  <cols>
    <col min="1" max="1" width="4.23046875" style="1" bestFit="1" customWidth="1"/>
    <col min="2" max="2" width="6.84375" style="1" bestFit="1" customWidth="1"/>
    <col min="3" max="3" width="10.23046875" style="6" bestFit="1" customWidth="1"/>
    <col min="4" max="4" width="20.921875" style="1" bestFit="1" customWidth="1"/>
    <col min="5" max="5" width="8.4609375" style="7" bestFit="1" customWidth="1"/>
    <col min="6" max="6" width="9.3046875" style="1" bestFit="1" customWidth="1"/>
    <col min="7" max="7" width="8.84375" style="1" bestFit="1" customWidth="1"/>
    <col min="8" max="8" width="9.765625" style="1" bestFit="1" customWidth="1"/>
    <col min="9" max="9" width="8.84375" style="1" bestFit="1" customWidth="1"/>
    <col min="10" max="10" width="10.61328125" style="1" bestFit="1" customWidth="1"/>
    <col min="11" max="16384" width="9.15234375" style="1"/>
  </cols>
  <sheetData>
    <row r="1" spans="1:52" ht="28.3" customHeight="1">
      <c r="A1" s="79" t="s">
        <v>17</v>
      </c>
      <c r="B1" s="80"/>
      <c r="C1" s="80"/>
      <c r="D1" s="80"/>
      <c r="E1" s="80"/>
    </row>
    <row r="2" spans="1:52" ht="28.3" customHeight="1">
      <c r="A2" s="80"/>
      <c r="B2" s="80"/>
      <c r="C2" s="80"/>
      <c r="D2" s="80"/>
      <c r="E2" s="80"/>
    </row>
    <row r="3" spans="1:52">
      <c r="A3" s="81" t="s">
        <v>11</v>
      </c>
      <c r="B3" s="81"/>
      <c r="C3" s="81"/>
      <c r="D3" s="81"/>
      <c r="E3" s="81"/>
      <c r="F3" s="81"/>
      <c r="G3" s="81"/>
      <c r="H3" s="81"/>
      <c r="I3" s="81"/>
      <c r="J3" s="81"/>
      <c r="AS3" s="2">
        <v>43921</v>
      </c>
      <c r="AZ3" s="1">
        <f>(AQ3-4)*20000</f>
        <v>-80000</v>
      </c>
    </row>
    <row r="4" spans="1:52" ht="13.3" thickBot="1">
      <c r="A4" s="81"/>
      <c r="B4" s="81"/>
      <c r="C4" s="81"/>
      <c r="D4" s="81"/>
      <c r="E4" s="81"/>
      <c r="F4" s="81"/>
      <c r="G4" s="81"/>
      <c r="H4" s="81"/>
      <c r="I4" s="81"/>
      <c r="J4" s="81"/>
    </row>
    <row r="5" spans="1:52">
      <c r="A5" s="82" t="s">
        <v>0</v>
      </c>
      <c r="B5" s="84" t="s">
        <v>9</v>
      </c>
      <c r="C5" s="86" t="s">
        <v>1</v>
      </c>
      <c r="D5" s="84" t="s">
        <v>10</v>
      </c>
      <c r="E5" s="88" t="s">
        <v>13</v>
      </c>
      <c r="F5" s="88"/>
      <c r="G5" s="88" t="s">
        <v>8</v>
      </c>
      <c r="H5" s="88"/>
      <c r="I5" s="88" t="s">
        <v>7</v>
      </c>
      <c r="J5" s="89"/>
    </row>
    <row r="6" spans="1:52">
      <c r="A6" s="83"/>
      <c r="B6" s="85"/>
      <c r="C6" s="87"/>
      <c r="D6" s="85"/>
      <c r="E6" s="38" t="s">
        <v>2</v>
      </c>
      <c r="F6" s="39" t="s">
        <v>6</v>
      </c>
      <c r="G6" s="39" t="s">
        <v>2</v>
      </c>
      <c r="H6" s="39" t="s">
        <v>6</v>
      </c>
      <c r="I6" s="39" t="s">
        <v>2</v>
      </c>
      <c r="J6" s="40" t="s">
        <v>6</v>
      </c>
    </row>
    <row r="7" spans="1:52">
      <c r="A7" s="41"/>
      <c r="B7" s="42"/>
      <c r="C7" s="42"/>
      <c r="D7" s="62" t="s">
        <v>12</v>
      </c>
      <c r="E7" s="43"/>
      <c r="F7" s="44"/>
      <c r="G7" s="43"/>
      <c r="H7" s="44"/>
      <c r="I7" s="43">
        <v>50816.35</v>
      </c>
      <c r="J7" s="45">
        <v>289971938</v>
      </c>
    </row>
    <row r="8" spans="1:52">
      <c r="A8" s="41"/>
      <c r="B8" s="42"/>
      <c r="C8" s="42"/>
      <c r="D8" s="62" t="s">
        <v>16</v>
      </c>
      <c r="E8" s="43">
        <v>38872</v>
      </c>
      <c r="F8" s="44">
        <f>10366000+9438</f>
        <v>10375438</v>
      </c>
      <c r="G8" s="43"/>
      <c r="H8" s="44"/>
      <c r="I8" s="43"/>
      <c r="J8" s="45"/>
    </row>
    <row r="9" spans="1:52">
      <c r="A9" s="41">
        <v>1</v>
      </c>
      <c r="B9" s="46">
        <v>46052</v>
      </c>
      <c r="C9" s="42" t="s">
        <v>1918</v>
      </c>
      <c r="D9" s="62" t="s">
        <v>1919</v>
      </c>
      <c r="E9" s="43"/>
      <c r="F9" s="44"/>
      <c r="G9" s="43">
        <v>238.66</v>
      </c>
      <c r="H9" s="44"/>
      <c r="I9" s="43"/>
      <c r="J9" s="45"/>
    </row>
    <row r="10" spans="1:52">
      <c r="A10" s="41">
        <v>2</v>
      </c>
      <c r="B10" s="46">
        <v>46052</v>
      </c>
      <c r="C10" s="42" t="s">
        <v>1920</v>
      </c>
      <c r="D10" s="62" t="s">
        <v>1621</v>
      </c>
      <c r="E10" s="43"/>
      <c r="F10" s="44"/>
      <c r="G10" s="43">
        <v>100</v>
      </c>
      <c r="H10" s="44"/>
      <c r="I10" s="43"/>
      <c r="J10" s="45"/>
      <c r="AX10" s="5" t="s">
        <v>3</v>
      </c>
    </row>
    <row r="11" spans="1:52">
      <c r="A11" s="41">
        <v>3</v>
      </c>
      <c r="B11" s="46">
        <v>46052</v>
      </c>
      <c r="C11" s="42" t="s">
        <v>1921</v>
      </c>
      <c r="D11" s="62" t="s">
        <v>72</v>
      </c>
      <c r="E11" s="43"/>
      <c r="F11" s="44"/>
      <c r="G11" s="43">
        <v>1900</v>
      </c>
      <c r="H11" s="44"/>
      <c r="I11" s="43"/>
      <c r="J11" s="45"/>
    </row>
    <row r="12" spans="1:52">
      <c r="A12" s="41">
        <v>4</v>
      </c>
      <c r="B12" s="46">
        <v>46052</v>
      </c>
      <c r="C12" s="42" t="s">
        <v>1922</v>
      </c>
      <c r="D12" s="62" t="s">
        <v>587</v>
      </c>
      <c r="E12" s="43"/>
      <c r="F12" s="44"/>
      <c r="G12" s="43">
        <v>300</v>
      </c>
      <c r="H12" s="44"/>
      <c r="I12" s="43"/>
      <c r="J12" s="45"/>
    </row>
    <row r="13" spans="1:52">
      <c r="A13" s="41">
        <v>5</v>
      </c>
      <c r="B13" s="46">
        <v>46052</v>
      </c>
      <c r="C13" s="42" t="s">
        <v>1923</v>
      </c>
      <c r="D13" s="62" t="s">
        <v>1924</v>
      </c>
      <c r="E13" s="43"/>
      <c r="F13" s="44"/>
      <c r="G13" s="43">
        <v>940</v>
      </c>
      <c r="H13" s="44"/>
      <c r="I13" s="43"/>
      <c r="J13" s="45"/>
    </row>
    <row r="14" spans="1:52">
      <c r="A14" s="41">
        <v>6</v>
      </c>
      <c r="B14" s="46">
        <v>46052</v>
      </c>
      <c r="C14" s="42" t="s">
        <v>1925</v>
      </c>
      <c r="D14" s="62" t="s">
        <v>1627</v>
      </c>
      <c r="E14" s="43"/>
      <c r="F14" s="44"/>
      <c r="G14" s="43">
        <v>500</v>
      </c>
      <c r="H14" s="44"/>
      <c r="I14" s="43"/>
      <c r="J14" s="45"/>
    </row>
    <row r="15" spans="1:52">
      <c r="A15" s="41">
        <v>7</v>
      </c>
      <c r="B15" s="46">
        <v>46052</v>
      </c>
      <c r="C15" s="42" t="s">
        <v>1926</v>
      </c>
      <c r="D15" s="62" t="s">
        <v>1927</v>
      </c>
      <c r="E15" s="43"/>
      <c r="F15" s="44"/>
      <c r="G15" s="43">
        <v>250</v>
      </c>
      <c r="H15" s="44"/>
      <c r="I15" s="43"/>
      <c r="J15" s="45"/>
    </row>
    <row r="16" spans="1:52">
      <c r="A16" s="41">
        <v>8</v>
      </c>
      <c r="B16" s="46">
        <v>46052</v>
      </c>
      <c r="C16" s="42" t="s">
        <v>1928</v>
      </c>
      <c r="D16" s="62" t="s">
        <v>153</v>
      </c>
      <c r="E16" s="43"/>
      <c r="F16" s="44"/>
      <c r="G16" s="43">
        <v>25</v>
      </c>
      <c r="H16" s="44"/>
      <c r="I16" s="43"/>
      <c r="J16" s="45"/>
    </row>
    <row r="17" spans="1:10">
      <c r="A17" s="41">
        <v>9</v>
      </c>
      <c r="B17" s="46">
        <v>46052</v>
      </c>
      <c r="C17" s="42" t="s">
        <v>1929</v>
      </c>
      <c r="D17" s="62" t="s">
        <v>1930</v>
      </c>
      <c r="E17" s="43"/>
      <c r="F17" s="44"/>
      <c r="G17" s="43">
        <v>300</v>
      </c>
      <c r="H17" s="44"/>
      <c r="I17" s="43"/>
      <c r="J17" s="45"/>
    </row>
    <row r="18" spans="1:10">
      <c r="A18" s="41">
        <v>10</v>
      </c>
      <c r="B18" s="46">
        <v>46052</v>
      </c>
      <c r="C18" s="42" t="s">
        <v>1931</v>
      </c>
      <c r="D18" s="62" t="s">
        <v>1932</v>
      </c>
      <c r="E18" s="43"/>
      <c r="F18" s="44"/>
      <c r="G18" s="43">
        <v>500</v>
      </c>
      <c r="H18" s="44"/>
      <c r="I18" s="43"/>
      <c r="J18" s="45"/>
    </row>
    <row r="19" spans="1:10">
      <c r="A19" s="41">
        <v>11</v>
      </c>
      <c r="B19" s="46">
        <v>46052</v>
      </c>
      <c r="C19" s="42" t="s">
        <v>1933</v>
      </c>
      <c r="D19" s="62" t="s">
        <v>1934</v>
      </c>
      <c r="E19" s="43"/>
      <c r="F19" s="44"/>
      <c r="G19" s="43">
        <v>600</v>
      </c>
      <c r="H19" s="44"/>
      <c r="I19" s="43"/>
      <c r="J19" s="45"/>
    </row>
    <row r="20" spans="1:10">
      <c r="A20" s="41">
        <v>12</v>
      </c>
      <c r="B20" s="46">
        <v>46052</v>
      </c>
      <c r="C20" s="42" t="s">
        <v>1935</v>
      </c>
      <c r="D20" s="62" t="s">
        <v>1698</v>
      </c>
      <c r="E20" s="43"/>
      <c r="F20" s="44"/>
      <c r="G20" s="43">
        <v>500</v>
      </c>
      <c r="H20" s="44"/>
      <c r="I20" s="43"/>
      <c r="J20" s="45"/>
    </row>
    <row r="21" spans="1:10">
      <c r="A21" s="41">
        <v>13</v>
      </c>
      <c r="B21" s="46">
        <v>46052</v>
      </c>
      <c r="C21" s="42" t="s">
        <v>1936</v>
      </c>
      <c r="D21" s="62" t="s">
        <v>573</v>
      </c>
      <c r="E21" s="43"/>
      <c r="F21" s="44"/>
      <c r="G21" s="43">
        <v>165.68</v>
      </c>
      <c r="H21" s="44"/>
      <c r="I21" s="43"/>
      <c r="J21" s="45"/>
    </row>
    <row r="22" spans="1:10">
      <c r="A22" s="41">
        <v>14</v>
      </c>
      <c r="B22" s="46">
        <v>46052</v>
      </c>
      <c r="C22" s="42" t="s">
        <v>1937</v>
      </c>
      <c r="D22" s="62" t="s">
        <v>1938</v>
      </c>
      <c r="E22" s="43"/>
      <c r="F22" s="44"/>
      <c r="G22" s="43">
        <v>150</v>
      </c>
      <c r="H22" s="44"/>
      <c r="I22" s="43"/>
      <c r="J22" s="45"/>
    </row>
    <row r="23" spans="1:10">
      <c r="A23" s="41">
        <v>15</v>
      </c>
      <c r="B23" s="46">
        <v>46052</v>
      </c>
      <c r="C23" s="42" t="s">
        <v>1939</v>
      </c>
      <c r="D23" s="62" t="s">
        <v>1940</v>
      </c>
      <c r="E23" s="43"/>
      <c r="F23" s="44"/>
      <c r="G23" s="43">
        <v>5500</v>
      </c>
      <c r="H23" s="44"/>
      <c r="I23" s="43"/>
      <c r="J23" s="45"/>
    </row>
    <row r="24" spans="1:10">
      <c r="A24" s="41">
        <v>16</v>
      </c>
      <c r="B24" s="46">
        <v>46052</v>
      </c>
      <c r="C24" s="42" t="s">
        <v>1941</v>
      </c>
      <c r="D24" s="62" t="s">
        <v>587</v>
      </c>
      <c r="E24" s="43"/>
      <c r="F24" s="44"/>
      <c r="G24" s="43">
        <v>1000</v>
      </c>
      <c r="H24" s="44"/>
      <c r="I24" s="43"/>
      <c r="J24" s="45"/>
    </row>
    <row r="25" spans="1:10">
      <c r="A25" s="41">
        <v>17</v>
      </c>
      <c r="B25" s="46">
        <v>46052</v>
      </c>
      <c r="C25" s="42" t="s">
        <v>1942</v>
      </c>
      <c r="D25" s="62" t="s">
        <v>1943</v>
      </c>
      <c r="E25" s="43"/>
      <c r="F25" s="44"/>
      <c r="G25" s="43">
        <v>1156.46</v>
      </c>
      <c r="H25" s="44"/>
      <c r="I25" s="43"/>
      <c r="J25" s="45"/>
    </row>
    <row r="26" spans="1:10">
      <c r="A26" s="41">
        <v>18</v>
      </c>
      <c r="B26" s="46">
        <v>46052</v>
      </c>
      <c r="C26" s="42" t="s">
        <v>1944</v>
      </c>
      <c r="D26" s="62" t="s">
        <v>1945</v>
      </c>
      <c r="E26" s="43"/>
      <c r="F26" s="44"/>
      <c r="G26" s="43">
        <v>373.41</v>
      </c>
      <c r="H26" s="44"/>
      <c r="I26" s="43"/>
      <c r="J26" s="45"/>
    </row>
    <row r="27" spans="1:10">
      <c r="A27" s="41">
        <v>19</v>
      </c>
      <c r="B27" s="46">
        <v>46052</v>
      </c>
      <c r="C27" s="42" t="s">
        <v>1946</v>
      </c>
      <c r="D27" s="62" t="s">
        <v>1947</v>
      </c>
      <c r="E27" s="43"/>
      <c r="F27" s="44"/>
      <c r="G27" s="43">
        <v>400</v>
      </c>
      <c r="H27" s="44"/>
      <c r="I27" s="43"/>
      <c r="J27" s="45"/>
    </row>
    <row r="28" spans="1:10">
      <c r="A28" s="41">
        <v>20</v>
      </c>
      <c r="B28" s="46">
        <v>46052</v>
      </c>
      <c r="C28" s="42" t="s">
        <v>1948</v>
      </c>
      <c r="D28" s="62" t="s">
        <v>1949</v>
      </c>
      <c r="E28" s="43"/>
      <c r="F28" s="44"/>
      <c r="G28" s="43">
        <v>700</v>
      </c>
      <c r="H28" s="44"/>
      <c r="I28" s="43"/>
      <c r="J28" s="45"/>
    </row>
    <row r="29" spans="1:10" s="9" customFormat="1" ht="12.45">
      <c r="A29" s="41">
        <v>21</v>
      </c>
      <c r="B29" s="46">
        <v>46052</v>
      </c>
      <c r="C29" s="42" t="s">
        <v>1950</v>
      </c>
      <c r="D29" s="62" t="s">
        <v>986</v>
      </c>
      <c r="E29" s="43"/>
      <c r="F29" s="44"/>
      <c r="G29" s="43">
        <v>2100</v>
      </c>
      <c r="H29" s="44"/>
      <c r="I29" s="43"/>
      <c r="J29" s="45"/>
    </row>
    <row r="30" spans="1:10">
      <c r="A30" s="41">
        <v>22</v>
      </c>
      <c r="B30" s="46">
        <v>46052</v>
      </c>
      <c r="C30" s="42" t="s">
        <v>1951</v>
      </c>
      <c r="D30" s="62" t="s">
        <v>1952</v>
      </c>
      <c r="E30" s="43"/>
      <c r="F30" s="44"/>
      <c r="G30" s="43">
        <v>300</v>
      </c>
      <c r="H30" s="44"/>
      <c r="I30" s="43"/>
      <c r="J30" s="45"/>
    </row>
    <row r="31" spans="1:10">
      <c r="A31" s="41">
        <v>23</v>
      </c>
      <c r="B31" s="46">
        <v>46052</v>
      </c>
      <c r="C31" s="42" t="s">
        <v>1953</v>
      </c>
      <c r="D31" s="62" t="s">
        <v>718</v>
      </c>
      <c r="E31" s="43"/>
      <c r="F31" s="44"/>
      <c r="G31" s="43">
        <v>2000</v>
      </c>
      <c r="H31" s="44"/>
      <c r="I31" s="43"/>
      <c r="J31" s="45"/>
    </row>
    <row r="32" spans="1:10">
      <c r="A32" s="41">
        <v>24</v>
      </c>
      <c r="B32" s="46">
        <v>46052</v>
      </c>
      <c r="C32" s="42" t="s">
        <v>1954</v>
      </c>
      <c r="D32" s="62" t="s">
        <v>585</v>
      </c>
      <c r="E32" s="43"/>
      <c r="F32" s="44"/>
      <c r="G32" s="43">
        <v>200</v>
      </c>
      <c r="H32" s="44"/>
      <c r="I32" s="43"/>
      <c r="J32" s="45"/>
    </row>
    <row r="33" spans="1:10">
      <c r="A33" s="41">
        <v>25</v>
      </c>
      <c r="B33" s="46">
        <v>46052</v>
      </c>
      <c r="C33" s="42" t="s">
        <v>1955</v>
      </c>
      <c r="D33" s="62" t="s">
        <v>1956</v>
      </c>
      <c r="E33" s="43"/>
      <c r="F33" s="44"/>
      <c r="G33" s="43">
        <v>2000</v>
      </c>
      <c r="H33" s="44"/>
      <c r="I33" s="43"/>
      <c r="J33" s="45"/>
    </row>
    <row r="34" spans="1:10">
      <c r="A34" s="41">
        <v>26</v>
      </c>
      <c r="B34" s="46">
        <v>46052</v>
      </c>
      <c r="C34" s="42" t="s">
        <v>1957</v>
      </c>
      <c r="D34" s="62" t="s">
        <v>1956</v>
      </c>
      <c r="E34" s="43"/>
      <c r="F34" s="44"/>
      <c r="G34" s="43">
        <v>2000</v>
      </c>
      <c r="H34" s="44"/>
      <c r="I34" s="43"/>
      <c r="J34" s="45"/>
    </row>
    <row r="35" spans="1:10">
      <c r="A35" s="41">
        <v>27</v>
      </c>
      <c r="B35" s="46">
        <v>46052</v>
      </c>
      <c r="C35" s="42" t="s">
        <v>1958</v>
      </c>
      <c r="D35" s="62" t="s">
        <v>1832</v>
      </c>
      <c r="E35" s="43"/>
      <c r="F35" s="44"/>
      <c r="G35" s="43">
        <v>500</v>
      </c>
      <c r="H35" s="44"/>
      <c r="I35" s="43"/>
      <c r="J35" s="45"/>
    </row>
    <row r="36" spans="1:10">
      <c r="A36" s="41">
        <v>28</v>
      </c>
      <c r="B36" s="46">
        <v>46052</v>
      </c>
      <c r="C36" s="42" t="s">
        <v>1959</v>
      </c>
      <c r="D36" s="62" t="s">
        <v>1960</v>
      </c>
      <c r="E36" s="43"/>
      <c r="F36" s="44"/>
      <c r="G36" s="43">
        <v>1500</v>
      </c>
      <c r="H36" s="44"/>
      <c r="I36" s="43"/>
      <c r="J36" s="45"/>
    </row>
    <row r="37" spans="1:10">
      <c r="A37" s="41">
        <v>29</v>
      </c>
      <c r="B37" s="46">
        <v>46052</v>
      </c>
      <c r="C37" s="42" t="s">
        <v>1961</v>
      </c>
      <c r="D37" s="62" t="s">
        <v>589</v>
      </c>
      <c r="E37" s="43"/>
      <c r="F37" s="44"/>
      <c r="G37" s="43">
        <v>793.75</v>
      </c>
      <c r="H37" s="44"/>
      <c r="I37" s="43"/>
      <c r="J37" s="45"/>
    </row>
    <row r="38" spans="1:10">
      <c r="A38" s="41">
        <v>30</v>
      </c>
      <c r="B38" s="46">
        <v>46052</v>
      </c>
      <c r="C38" s="42" t="s">
        <v>1962</v>
      </c>
      <c r="D38" s="62" t="s">
        <v>1963</v>
      </c>
      <c r="E38" s="43"/>
      <c r="F38" s="44"/>
      <c r="G38" s="43">
        <v>380.36</v>
      </c>
      <c r="H38" s="44"/>
      <c r="I38" s="43"/>
      <c r="J38" s="45"/>
    </row>
    <row r="39" spans="1:10">
      <c r="A39" s="41">
        <v>31</v>
      </c>
      <c r="B39" s="46">
        <v>46052</v>
      </c>
      <c r="C39" s="42" t="s">
        <v>1964</v>
      </c>
      <c r="D39" s="62" t="s">
        <v>1965</v>
      </c>
      <c r="E39" s="43"/>
      <c r="F39" s="44"/>
      <c r="G39" s="43">
        <v>556.88</v>
      </c>
      <c r="H39" s="44"/>
      <c r="I39" s="43"/>
      <c r="J39" s="45"/>
    </row>
    <row r="40" spans="1:10">
      <c r="A40" s="41">
        <v>32</v>
      </c>
      <c r="B40" s="46">
        <v>46052</v>
      </c>
      <c r="C40" s="42" t="s">
        <v>1966</v>
      </c>
      <c r="D40" s="62" t="s">
        <v>1967</v>
      </c>
      <c r="E40" s="43"/>
      <c r="F40" s="44"/>
      <c r="G40" s="43">
        <v>400</v>
      </c>
      <c r="H40" s="44"/>
      <c r="I40" s="43"/>
      <c r="J40" s="45"/>
    </row>
    <row r="41" spans="1:10">
      <c r="A41" s="41">
        <v>33</v>
      </c>
      <c r="B41" s="46">
        <v>46052</v>
      </c>
      <c r="C41" s="42" t="s">
        <v>1968</v>
      </c>
      <c r="D41" s="62" t="s">
        <v>1969</v>
      </c>
      <c r="E41" s="43"/>
      <c r="F41" s="44"/>
      <c r="G41" s="43">
        <v>100</v>
      </c>
      <c r="H41" s="44"/>
      <c r="I41" s="43"/>
      <c r="J41" s="45"/>
    </row>
    <row r="42" spans="1:10">
      <c r="A42" s="41">
        <v>34</v>
      </c>
      <c r="B42" s="46">
        <v>46052</v>
      </c>
      <c r="C42" s="42" t="s">
        <v>1970</v>
      </c>
      <c r="D42" s="62" t="s">
        <v>1971</v>
      </c>
      <c r="E42" s="43"/>
      <c r="F42" s="44"/>
      <c r="G42" s="43">
        <v>846.06</v>
      </c>
      <c r="H42" s="44"/>
      <c r="I42" s="43"/>
      <c r="J42" s="45"/>
    </row>
    <row r="43" spans="1:10" s="9" customFormat="1" ht="12.45">
      <c r="A43" s="41">
        <v>35</v>
      </c>
      <c r="B43" s="46">
        <v>46052</v>
      </c>
      <c r="C43" s="42" t="s">
        <v>1972</v>
      </c>
      <c r="D43" s="62" t="s">
        <v>646</v>
      </c>
      <c r="E43" s="43"/>
      <c r="F43" s="44"/>
      <c r="G43" s="43">
        <v>153.63</v>
      </c>
      <c r="H43" s="44"/>
      <c r="I43" s="43"/>
      <c r="J43" s="45"/>
    </row>
    <row r="44" spans="1:10">
      <c r="A44" s="41">
        <v>36</v>
      </c>
      <c r="B44" s="46">
        <v>46052</v>
      </c>
      <c r="C44" s="42" t="s">
        <v>1973</v>
      </c>
      <c r="D44" s="62" t="s">
        <v>36</v>
      </c>
      <c r="E44" s="43"/>
      <c r="F44" s="44"/>
      <c r="G44" s="43">
        <v>2516.2800000000002</v>
      </c>
      <c r="H44" s="44"/>
      <c r="I44" s="43"/>
      <c r="J44" s="45"/>
    </row>
    <row r="45" spans="1:10">
      <c r="A45" s="41">
        <v>37</v>
      </c>
      <c r="B45" s="46">
        <v>46052</v>
      </c>
      <c r="C45" s="42" t="s">
        <v>1974</v>
      </c>
      <c r="D45" s="62" t="s">
        <v>400</v>
      </c>
      <c r="E45" s="43"/>
      <c r="F45" s="44"/>
      <c r="G45" s="43">
        <v>500</v>
      </c>
      <c r="H45" s="44"/>
      <c r="I45" s="43"/>
      <c r="J45" s="45"/>
    </row>
    <row r="46" spans="1:10">
      <c r="A46" s="41">
        <v>38</v>
      </c>
      <c r="B46" s="46">
        <v>46052</v>
      </c>
      <c r="C46" s="42" t="s">
        <v>1975</v>
      </c>
      <c r="D46" s="62" t="s">
        <v>1976</v>
      </c>
      <c r="E46" s="43"/>
      <c r="F46" s="44"/>
      <c r="G46" s="43">
        <v>545.67999999999995</v>
      </c>
      <c r="H46" s="44"/>
      <c r="I46" s="43"/>
      <c r="J46" s="45"/>
    </row>
    <row r="47" spans="1:10">
      <c r="A47" s="41">
        <v>39</v>
      </c>
      <c r="B47" s="46">
        <v>46052</v>
      </c>
      <c r="C47" s="42" t="s">
        <v>1977</v>
      </c>
      <c r="D47" s="62" t="s">
        <v>205</v>
      </c>
      <c r="E47" s="43"/>
      <c r="F47" s="44"/>
      <c r="G47" s="43">
        <v>200</v>
      </c>
      <c r="H47" s="44"/>
      <c r="I47" s="43"/>
      <c r="J47" s="45"/>
    </row>
    <row r="48" spans="1:10">
      <c r="A48" s="41">
        <v>40</v>
      </c>
      <c r="B48" s="46">
        <v>46052</v>
      </c>
      <c r="C48" s="42" t="s">
        <v>1978</v>
      </c>
      <c r="D48" s="62" t="s">
        <v>1917</v>
      </c>
      <c r="E48" s="43"/>
      <c r="F48" s="44"/>
      <c r="G48" s="43">
        <v>21.99</v>
      </c>
      <c r="H48" s="44"/>
      <c r="I48" s="43"/>
      <c r="J48" s="45"/>
    </row>
    <row r="49" spans="1:10">
      <c r="A49" s="41">
        <v>41</v>
      </c>
      <c r="B49" s="46">
        <v>46052</v>
      </c>
      <c r="C49" s="42" t="s">
        <v>1979</v>
      </c>
      <c r="D49" s="62" t="s">
        <v>1980</v>
      </c>
      <c r="E49" s="43"/>
      <c r="F49" s="44"/>
      <c r="G49" s="43">
        <v>32.99</v>
      </c>
      <c r="H49" s="44"/>
      <c r="I49" s="43"/>
      <c r="J49" s="45"/>
    </row>
    <row r="50" spans="1:10">
      <c r="A50" s="41">
        <v>42</v>
      </c>
      <c r="B50" s="46">
        <v>46052</v>
      </c>
      <c r="C50" s="42" t="s">
        <v>1981</v>
      </c>
      <c r="D50" s="62" t="s">
        <v>1982</v>
      </c>
      <c r="E50" s="43"/>
      <c r="F50" s="44"/>
      <c r="G50" s="43">
        <v>48</v>
      </c>
      <c r="H50" s="44"/>
      <c r="I50" s="43"/>
      <c r="J50" s="45"/>
    </row>
    <row r="51" spans="1:10">
      <c r="A51" s="41">
        <v>43</v>
      </c>
      <c r="B51" s="46">
        <v>46052</v>
      </c>
      <c r="C51" s="42" t="s">
        <v>1983</v>
      </c>
      <c r="D51" s="62" t="s">
        <v>1694</v>
      </c>
      <c r="E51" s="43"/>
      <c r="F51" s="44"/>
      <c r="G51" s="43">
        <v>4832</v>
      </c>
      <c r="H51" s="44"/>
      <c r="I51" s="43"/>
      <c r="J51" s="45"/>
    </row>
    <row r="52" spans="1:10">
      <c r="A52" s="41">
        <v>44</v>
      </c>
      <c r="B52" s="46">
        <v>46052</v>
      </c>
      <c r="C52" s="42" t="s">
        <v>1984</v>
      </c>
      <c r="D52" s="62" t="s">
        <v>1985</v>
      </c>
      <c r="E52" s="43"/>
      <c r="F52" s="44"/>
      <c r="G52" s="43"/>
      <c r="H52" s="44">
        <v>3079000</v>
      </c>
      <c r="I52" s="43"/>
      <c r="J52" s="45"/>
    </row>
    <row r="53" spans="1:10">
      <c r="A53" s="41">
        <v>45</v>
      </c>
      <c r="B53" s="46">
        <v>46052</v>
      </c>
      <c r="C53" s="42" t="s">
        <v>1986</v>
      </c>
      <c r="D53" s="62" t="s">
        <v>1987</v>
      </c>
      <c r="E53" s="43"/>
      <c r="F53" s="44"/>
      <c r="G53" s="43"/>
      <c r="H53" s="44">
        <v>12238000</v>
      </c>
      <c r="I53" s="43"/>
      <c r="J53" s="45"/>
    </row>
    <row r="54" spans="1:10">
      <c r="A54" s="41">
        <v>46</v>
      </c>
      <c r="B54" s="46">
        <v>46052</v>
      </c>
      <c r="C54" s="42" t="s">
        <v>1988</v>
      </c>
      <c r="D54" s="62" t="s">
        <v>1989</v>
      </c>
      <c r="E54" s="43"/>
      <c r="F54" s="44"/>
      <c r="G54" s="43"/>
      <c r="H54" s="44">
        <v>22975000</v>
      </c>
      <c r="I54" s="43"/>
      <c r="J54" s="45"/>
    </row>
    <row r="55" spans="1:10" s="9" customFormat="1" ht="21.45">
      <c r="A55" s="41">
        <v>47</v>
      </c>
      <c r="B55" s="46">
        <v>46052</v>
      </c>
      <c r="C55" s="42" t="s">
        <v>1990</v>
      </c>
      <c r="D55" s="70" t="s">
        <v>2063</v>
      </c>
      <c r="E55" s="43"/>
      <c r="F55" s="44"/>
      <c r="G55" s="43"/>
      <c r="H55" s="44">
        <v>15296000</v>
      </c>
      <c r="I55" s="43"/>
      <c r="J55" s="45"/>
    </row>
    <row r="56" spans="1:10" s="9" customFormat="1" thickBot="1">
      <c r="A56" s="47"/>
      <c r="B56" s="48"/>
      <c r="C56" s="48"/>
      <c r="D56" s="48" t="s">
        <v>4</v>
      </c>
      <c r="E56" s="50"/>
      <c r="F56" s="49"/>
      <c r="G56" s="50">
        <v>38126.83</v>
      </c>
      <c r="H56" s="49">
        <v>53588000</v>
      </c>
      <c r="I56" s="50">
        <v>51561.52</v>
      </c>
      <c r="J56" s="51">
        <f>J7+F8-H56</f>
        <v>246759376</v>
      </c>
    </row>
    <row r="57" spans="1:10">
      <c r="H57" s="10" t="s">
        <v>14</v>
      </c>
    </row>
    <row r="58" spans="1:10">
      <c r="H58" s="11" t="s">
        <v>15</v>
      </c>
    </row>
    <row r="84" spans="52:52">
      <c r="AZ84" s="1" t="s">
        <v>5</v>
      </c>
    </row>
  </sheetData>
  <mergeCells count="9">
    <mergeCell ref="A1:E2"/>
    <mergeCell ref="A3:J4"/>
    <mergeCell ref="A5:A6"/>
    <mergeCell ref="B5:B6"/>
    <mergeCell ref="C5:C6"/>
    <mergeCell ref="D5:D6"/>
    <mergeCell ref="E5:F5"/>
    <mergeCell ref="G5:H5"/>
    <mergeCell ref="I5:J5"/>
  </mergeCells>
  <pageMargins left="0.5" right="0" top="0.5" bottom="0.5" header="0" footer="0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1A8F6-CA41-4121-8407-9F9C38371C26}">
  <sheetPr>
    <tabColor rgb="FFFFFF00"/>
  </sheetPr>
  <dimension ref="A1:AZ73"/>
  <sheetViews>
    <sheetView topLeftCell="A20" zoomScale="70" zoomScaleNormal="70" workbookViewId="0">
      <selection activeCell="J46" sqref="J46"/>
    </sheetView>
  </sheetViews>
  <sheetFormatPr defaultColWidth="9.15234375" defaultRowHeight="12.9"/>
  <cols>
    <col min="1" max="1" width="4.23046875" style="1" bestFit="1" customWidth="1"/>
    <col min="2" max="2" width="6.84375" style="1" bestFit="1" customWidth="1"/>
    <col min="3" max="3" width="10.23046875" style="6" bestFit="1" customWidth="1"/>
    <col min="4" max="4" width="26" style="1" bestFit="1" customWidth="1"/>
    <col min="5" max="5" width="4" style="7" bestFit="1" customWidth="1"/>
    <col min="6" max="6" width="4.23046875" style="1" bestFit="1" customWidth="1"/>
    <col min="7" max="7" width="8.84375" style="1" bestFit="1" customWidth="1"/>
    <col min="8" max="8" width="15.23046875" style="1" bestFit="1" customWidth="1"/>
    <col min="9" max="9" width="8.84375" style="1" bestFit="1" customWidth="1"/>
    <col min="10" max="10" width="10.61328125" style="1" bestFit="1" customWidth="1"/>
    <col min="11" max="16384" width="9.15234375" style="1"/>
  </cols>
  <sheetData>
    <row r="1" spans="1:52" ht="28.3" customHeight="1">
      <c r="A1" s="79" t="s">
        <v>17</v>
      </c>
      <c r="B1" s="80"/>
      <c r="C1" s="80"/>
      <c r="D1" s="80"/>
      <c r="E1" s="80"/>
    </row>
    <row r="2" spans="1:52" ht="28.3" customHeight="1">
      <c r="A2" s="80"/>
      <c r="B2" s="80"/>
      <c r="C2" s="80"/>
      <c r="D2" s="80"/>
      <c r="E2" s="80"/>
    </row>
    <row r="3" spans="1:52">
      <c r="A3" s="81" t="s">
        <v>11</v>
      </c>
      <c r="B3" s="81"/>
      <c r="C3" s="81"/>
      <c r="D3" s="81"/>
      <c r="E3" s="81"/>
      <c r="F3" s="81"/>
      <c r="G3" s="81"/>
      <c r="H3" s="81"/>
      <c r="I3" s="81"/>
      <c r="J3" s="81"/>
      <c r="AS3" s="2">
        <v>43921</v>
      </c>
      <c r="AZ3" s="1">
        <f>(AQ3-4)*20000</f>
        <v>-80000</v>
      </c>
    </row>
    <row r="4" spans="1:52" ht="13.3" thickBot="1">
      <c r="A4" s="81"/>
      <c r="B4" s="81"/>
      <c r="C4" s="81"/>
      <c r="D4" s="81"/>
      <c r="E4" s="81"/>
      <c r="F4" s="81"/>
      <c r="G4" s="81"/>
      <c r="H4" s="81"/>
      <c r="I4" s="81"/>
      <c r="J4" s="81"/>
    </row>
    <row r="5" spans="1:52">
      <c r="A5" s="82" t="s">
        <v>0</v>
      </c>
      <c r="B5" s="84" t="s">
        <v>9</v>
      </c>
      <c r="C5" s="86" t="s">
        <v>1</v>
      </c>
      <c r="D5" s="84" t="s">
        <v>10</v>
      </c>
      <c r="E5" s="88" t="s">
        <v>13</v>
      </c>
      <c r="F5" s="88"/>
      <c r="G5" s="88" t="s">
        <v>8</v>
      </c>
      <c r="H5" s="88"/>
      <c r="I5" s="88" t="s">
        <v>7</v>
      </c>
      <c r="J5" s="89"/>
    </row>
    <row r="6" spans="1:52">
      <c r="A6" s="83"/>
      <c r="B6" s="85"/>
      <c r="C6" s="87"/>
      <c r="D6" s="85"/>
      <c r="E6" s="38" t="s">
        <v>2</v>
      </c>
      <c r="F6" s="39" t="s">
        <v>6</v>
      </c>
      <c r="G6" s="39" t="s">
        <v>2</v>
      </c>
      <c r="H6" s="39" t="s">
        <v>6</v>
      </c>
      <c r="I6" s="39" t="s">
        <v>2</v>
      </c>
      <c r="J6" s="40" t="s">
        <v>6</v>
      </c>
    </row>
    <row r="7" spans="1:52">
      <c r="A7" s="41"/>
      <c r="B7" s="42"/>
      <c r="C7" s="42"/>
      <c r="D7" s="42" t="s">
        <v>12</v>
      </c>
      <c r="E7" s="43"/>
      <c r="F7" s="44"/>
      <c r="G7" s="43"/>
      <c r="H7" s="44"/>
      <c r="I7" s="43">
        <v>51561.52</v>
      </c>
      <c r="J7" s="45">
        <v>246759376</v>
      </c>
    </row>
    <row r="8" spans="1:52">
      <c r="A8" s="41"/>
      <c r="B8" s="42"/>
      <c r="C8" s="42"/>
      <c r="D8" s="42" t="s">
        <v>16</v>
      </c>
      <c r="E8" s="43">
        <v>0</v>
      </c>
      <c r="F8" s="44">
        <v>0</v>
      </c>
      <c r="G8" s="43"/>
      <c r="H8" s="44"/>
      <c r="I8" s="43"/>
      <c r="J8" s="45"/>
    </row>
    <row r="9" spans="1:52">
      <c r="A9" s="41">
        <v>1</v>
      </c>
      <c r="B9" s="46">
        <v>46053</v>
      </c>
      <c r="C9" s="42" t="s">
        <v>1991</v>
      </c>
      <c r="D9" s="42" t="s">
        <v>638</v>
      </c>
      <c r="E9" s="43"/>
      <c r="F9" s="44"/>
      <c r="G9" s="43">
        <v>75</v>
      </c>
      <c r="H9" s="44"/>
      <c r="I9" s="43"/>
      <c r="J9" s="45"/>
    </row>
    <row r="10" spans="1:52">
      <c r="A10" s="41">
        <v>2</v>
      </c>
      <c r="B10" s="46">
        <v>46053</v>
      </c>
      <c r="C10" s="42" t="s">
        <v>1992</v>
      </c>
      <c r="D10" s="42" t="s">
        <v>779</v>
      </c>
      <c r="E10" s="43"/>
      <c r="F10" s="44"/>
      <c r="G10" s="43">
        <v>300</v>
      </c>
      <c r="H10" s="44"/>
      <c r="I10" s="43"/>
      <c r="J10" s="45"/>
      <c r="AX10" s="5" t="s">
        <v>3</v>
      </c>
    </row>
    <row r="11" spans="1:52">
      <c r="A11" s="41">
        <v>3</v>
      </c>
      <c r="B11" s="46">
        <v>46053</v>
      </c>
      <c r="C11" s="42" t="s">
        <v>1993</v>
      </c>
      <c r="D11" s="42" t="s">
        <v>1994</v>
      </c>
      <c r="E11" s="43"/>
      <c r="F11" s="44"/>
      <c r="G11" s="43">
        <v>189.55</v>
      </c>
      <c r="H11" s="44"/>
      <c r="I11" s="43"/>
      <c r="J11" s="45"/>
    </row>
    <row r="12" spans="1:52">
      <c r="A12" s="41">
        <v>4</v>
      </c>
      <c r="B12" s="46">
        <v>46053</v>
      </c>
      <c r="C12" s="42" t="s">
        <v>1995</v>
      </c>
      <c r="D12" s="42" t="s">
        <v>1517</v>
      </c>
      <c r="E12" s="43"/>
      <c r="F12" s="44"/>
      <c r="G12" s="43">
        <v>200</v>
      </c>
      <c r="H12" s="44"/>
      <c r="I12" s="43"/>
      <c r="J12" s="45"/>
    </row>
    <row r="13" spans="1:52">
      <c r="A13" s="41">
        <v>5</v>
      </c>
      <c r="B13" s="46">
        <v>46053</v>
      </c>
      <c r="C13" s="42" t="s">
        <v>1996</v>
      </c>
      <c r="D13" s="42" t="s">
        <v>1997</v>
      </c>
      <c r="E13" s="43"/>
      <c r="F13" s="44"/>
      <c r="G13" s="43">
        <v>562.16</v>
      </c>
      <c r="H13" s="44"/>
      <c r="I13" s="43"/>
      <c r="J13" s="45"/>
    </row>
    <row r="14" spans="1:52">
      <c r="A14" s="41">
        <v>6</v>
      </c>
      <c r="B14" s="46">
        <v>46053</v>
      </c>
      <c r="C14" s="42" t="s">
        <v>1998</v>
      </c>
      <c r="D14" s="42" t="s">
        <v>1127</v>
      </c>
      <c r="E14" s="43"/>
      <c r="F14" s="44"/>
      <c r="G14" s="43">
        <v>100</v>
      </c>
      <c r="H14" s="44"/>
      <c r="I14" s="43"/>
      <c r="J14" s="45"/>
    </row>
    <row r="15" spans="1:52">
      <c r="A15" s="41">
        <v>7</v>
      </c>
      <c r="B15" s="46">
        <v>46053</v>
      </c>
      <c r="C15" s="42" t="s">
        <v>1999</v>
      </c>
      <c r="D15" s="42" t="s">
        <v>2000</v>
      </c>
      <c r="E15" s="43"/>
      <c r="F15" s="44"/>
      <c r="G15" s="43">
        <v>1000</v>
      </c>
      <c r="H15" s="44"/>
      <c r="I15" s="43"/>
      <c r="J15" s="45"/>
    </row>
    <row r="16" spans="1:52">
      <c r="A16" s="41">
        <v>8</v>
      </c>
      <c r="B16" s="46">
        <v>46053</v>
      </c>
      <c r="C16" s="42" t="s">
        <v>2001</v>
      </c>
      <c r="D16" s="42" t="s">
        <v>2002</v>
      </c>
      <c r="E16" s="43"/>
      <c r="F16" s="44"/>
      <c r="G16" s="43">
        <v>402.68</v>
      </c>
      <c r="H16" s="44"/>
      <c r="I16" s="43"/>
      <c r="J16" s="45"/>
    </row>
    <row r="17" spans="1:10">
      <c r="A17" s="41">
        <v>9</v>
      </c>
      <c r="B17" s="46">
        <v>46053</v>
      </c>
      <c r="C17" s="42" t="s">
        <v>2003</v>
      </c>
      <c r="D17" s="42" t="s">
        <v>153</v>
      </c>
      <c r="E17" s="43"/>
      <c r="F17" s="44"/>
      <c r="G17" s="43">
        <v>650</v>
      </c>
      <c r="H17" s="44"/>
      <c r="I17" s="43"/>
      <c r="J17" s="45"/>
    </row>
    <row r="18" spans="1:10">
      <c r="A18" s="41">
        <v>10</v>
      </c>
      <c r="B18" s="46">
        <v>46053</v>
      </c>
      <c r="C18" s="42" t="s">
        <v>2004</v>
      </c>
      <c r="D18" s="42" t="s">
        <v>1557</v>
      </c>
      <c r="E18" s="43"/>
      <c r="F18" s="44"/>
      <c r="G18" s="43">
        <v>225</v>
      </c>
      <c r="H18" s="44"/>
      <c r="I18" s="43"/>
      <c r="J18" s="45"/>
    </row>
    <row r="19" spans="1:10">
      <c r="A19" s="41">
        <v>11</v>
      </c>
      <c r="B19" s="46">
        <v>46053</v>
      </c>
      <c r="C19" s="42" t="s">
        <v>2005</v>
      </c>
      <c r="D19" s="42" t="s">
        <v>2006</v>
      </c>
      <c r="E19" s="43"/>
      <c r="F19" s="44"/>
      <c r="G19" s="43">
        <v>100</v>
      </c>
      <c r="H19" s="44"/>
      <c r="I19" s="43"/>
      <c r="J19" s="45"/>
    </row>
    <row r="20" spans="1:10">
      <c r="A20" s="41">
        <v>12</v>
      </c>
      <c r="B20" s="46">
        <v>46053</v>
      </c>
      <c r="C20" s="42" t="s">
        <v>2007</v>
      </c>
      <c r="D20" s="42" t="s">
        <v>45</v>
      </c>
      <c r="E20" s="43"/>
      <c r="F20" s="44"/>
      <c r="G20" s="43">
        <v>735.83</v>
      </c>
      <c r="H20" s="44"/>
      <c r="I20" s="43"/>
      <c r="J20" s="45"/>
    </row>
    <row r="21" spans="1:10">
      <c r="A21" s="41">
        <v>13</v>
      </c>
      <c r="B21" s="46">
        <v>46053</v>
      </c>
      <c r="C21" s="42" t="s">
        <v>2008</v>
      </c>
      <c r="D21" s="42" t="s">
        <v>2009</v>
      </c>
      <c r="E21" s="43"/>
      <c r="F21" s="44"/>
      <c r="G21" s="43">
        <v>300</v>
      </c>
      <c r="H21" s="44"/>
      <c r="I21" s="43"/>
      <c r="J21" s="45"/>
    </row>
    <row r="22" spans="1:10">
      <c r="A22" s="41">
        <v>14</v>
      </c>
      <c r="B22" s="46">
        <v>46053</v>
      </c>
      <c r="C22" s="42" t="s">
        <v>2010</v>
      </c>
      <c r="D22" s="42" t="s">
        <v>2009</v>
      </c>
      <c r="E22" s="43"/>
      <c r="F22" s="44"/>
      <c r="G22" s="43">
        <v>300</v>
      </c>
      <c r="H22" s="44"/>
      <c r="I22" s="43"/>
      <c r="J22" s="45"/>
    </row>
    <row r="23" spans="1:10">
      <c r="A23" s="41">
        <v>15</v>
      </c>
      <c r="B23" s="46">
        <v>46053</v>
      </c>
      <c r="C23" s="42" t="s">
        <v>2011</v>
      </c>
      <c r="D23" s="42" t="s">
        <v>2012</v>
      </c>
      <c r="E23" s="43"/>
      <c r="F23" s="44"/>
      <c r="G23" s="43">
        <v>384.34</v>
      </c>
      <c r="H23" s="44"/>
      <c r="I23" s="43"/>
      <c r="J23" s="45"/>
    </row>
    <row r="24" spans="1:10">
      <c r="A24" s="41">
        <v>16</v>
      </c>
      <c r="B24" s="46">
        <v>46053</v>
      </c>
      <c r="C24" s="42" t="s">
        <v>2013</v>
      </c>
      <c r="D24" s="42" t="s">
        <v>372</v>
      </c>
      <c r="E24" s="43"/>
      <c r="F24" s="44"/>
      <c r="G24" s="43">
        <v>611.79</v>
      </c>
      <c r="H24" s="44"/>
      <c r="I24" s="43"/>
      <c r="J24" s="45"/>
    </row>
    <row r="25" spans="1:10">
      <c r="A25" s="41">
        <v>17</v>
      </c>
      <c r="B25" s="46">
        <v>46053</v>
      </c>
      <c r="C25" s="42" t="s">
        <v>2014</v>
      </c>
      <c r="D25" s="42" t="s">
        <v>2015</v>
      </c>
      <c r="E25" s="43"/>
      <c r="F25" s="44"/>
      <c r="G25" s="43">
        <v>67.650000000000006</v>
      </c>
      <c r="H25" s="44"/>
      <c r="I25" s="43"/>
      <c r="J25" s="45"/>
    </row>
    <row r="26" spans="1:10">
      <c r="A26" s="41">
        <v>18</v>
      </c>
      <c r="B26" s="46">
        <v>46053</v>
      </c>
      <c r="C26" s="42" t="s">
        <v>2016</v>
      </c>
      <c r="D26" s="42" t="s">
        <v>2017</v>
      </c>
      <c r="E26" s="43"/>
      <c r="F26" s="44"/>
      <c r="G26" s="43">
        <v>450</v>
      </c>
      <c r="H26" s="44"/>
      <c r="I26" s="43"/>
      <c r="J26" s="45"/>
    </row>
    <row r="27" spans="1:10">
      <c r="A27" s="41">
        <v>19</v>
      </c>
      <c r="B27" s="46">
        <v>46053</v>
      </c>
      <c r="C27" s="42" t="s">
        <v>2018</v>
      </c>
      <c r="D27" s="42" t="s">
        <v>2019</v>
      </c>
      <c r="E27" s="43"/>
      <c r="F27" s="44"/>
      <c r="G27" s="43">
        <v>390</v>
      </c>
      <c r="H27" s="44"/>
      <c r="I27" s="43"/>
      <c r="J27" s="45"/>
    </row>
    <row r="28" spans="1:10">
      <c r="A28" s="41">
        <v>20</v>
      </c>
      <c r="B28" s="46">
        <v>46053</v>
      </c>
      <c r="C28" s="42" t="s">
        <v>2020</v>
      </c>
      <c r="D28" s="42" t="s">
        <v>573</v>
      </c>
      <c r="E28" s="43"/>
      <c r="F28" s="44"/>
      <c r="G28" s="43">
        <v>323.39999999999998</v>
      </c>
      <c r="H28" s="44"/>
      <c r="I28" s="43"/>
      <c r="J28" s="45"/>
    </row>
    <row r="29" spans="1:10" s="9" customFormat="1" ht="12.45">
      <c r="A29" s="41">
        <v>21</v>
      </c>
      <c r="B29" s="46">
        <v>46053</v>
      </c>
      <c r="C29" s="42" t="s">
        <v>2021</v>
      </c>
      <c r="D29" s="42" t="s">
        <v>2022</v>
      </c>
      <c r="E29" s="43"/>
      <c r="F29" s="44"/>
      <c r="G29" s="43">
        <v>267.08999999999997</v>
      </c>
      <c r="H29" s="44"/>
      <c r="I29" s="43"/>
      <c r="J29" s="45"/>
    </row>
    <row r="30" spans="1:10">
      <c r="A30" s="41">
        <v>22</v>
      </c>
      <c r="B30" s="46">
        <v>46053</v>
      </c>
      <c r="C30" s="42" t="s">
        <v>2023</v>
      </c>
      <c r="D30" s="42" t="s">
        <v>2024</v>
      </c>
      <c r="E30" s="43"/>
      <c r="F30" s="44"/>
      <c r="G30" s="43">
        <v>120.8</v>
      </c>
      <c r="H30" s="44"/>
      <c r="I30" s="43"/>
      <c r="J30" s="45"/>
    </row>
    <row r="31" spans="1:10">
      <c r="A31" s="41">
        <v>23</v>
      </c>
      <c r="B31" s="46">
        <v>46053</v>
      </c>
      <c r="C31" s="42" t="s">
        <v>2025</v>
      </c>
      <c r="D31" s="42" t="s">
        <v>469</v>
      </c>
      <c r="E31" s="43"/>
      <c r="F31" s="44"/>
      <c r="G31" s="43">
        <v>100</v>
      </c>
      <c r="H31" s="44"/>
      <c r="I31" s="43"/>
      <c r="J31" s="45"/>
    </row>
    <row r="32" spans="1:10">
      <c r="A32" s="41">
        <v>24</v>
      </c>
      <c r="B32" s="46">
        <v>46053</v>
      </c>
      <c r="C32" s="42" t="s">
        <v>2026</v>
      </c>
      <c r="D32" s="42" t="s">
        <v>2027</v>
      </c>
      <c r="E32" s="43"/>
      <c r="F32" s="44"/>
      <c r="G32" s="43">
        <v>285</v>
      </c>
      <c r="H32" s="44"/>
      <c r="I32" s="43"/>
      <c r="J32" s="45"/>
    </row>
    <row r="33" spans="1:10">
      <c r="A33" s="41">
        <v>25</v>
      </c>
      <c r="B33" s="46">
        <v>46053</v>
      </c>
      <c r="C33" s="42" t="s">
        <v>2028</v>
      </c>
      <c r="D33" s="42" t="s">
        <v>167</v>
      </c>
      <c r="E33" s="43"/>
      <c r="F33" s="44"/>
      <c r="G33" s="43">
        <v>50</v>
      </c>
      <c r="H33" s="44"/>
      <c r="I33" s="43"/>
      <c r="J33" s="45"/>
    </row>
    <row r="34" spans="1:10">
      <c r="A34" s="41">
        <v>26</v>
      </c>
      <c r="B34" s="46">
        <v>46053</v>
      </c>
      <c r="C34" s="42" t="s">
        <v>2029</v>
      </c>
      <c r="D34" s="42" t="s">
        <v>94</v>
      </c>
      <c r="E34" s="43"/>
      <c r="F34" s="44"/>
      <c r="G34" s="43">
        <v>771.31</v>
      </c>
      <c r="H34" s="44"/>
      <c r="I34" s="43"/>
      <c r="J34" s="45"/>
    </row>
    <row r="35" spans="1:10">
      <c r="A35" s="41">
        <v>27</v>
      </c>
      <c r="B35" s="46">
        <v>46053</v>
      </c>
      <c r="C35" s="42" t="s">
        <v>2030</v>
      </c>
      <c r="D35" s="42" t="s">
        <v>1663</v>
      </c>
      <c r="E35" s="43"/>
      <c r="F35" s="44"/>
      <c r="G35" s="43">
        <v>109.33</v>
      </c>
      <c r="H35" s="44"/>
      <c r="I35" s="43"/>
      <c r="J35" s="45"/>
    </row>
    <row r="36" spans="1:10">
      <c r="A36" s="41">
        <v>28</v>
      </c>
      <c r="B36" s="46">
        <v>46053</v>
      </c>
      <c r="C36" s="42" t="s">
        <v>2031</v>
      </c>
      <c r="D36" s="42" t="s">
        <v>125</v>
      </c>
      <c r="E36" s="43"/>
      <c r="F36" s="44"/>
      <c r="G36" s="43">
        <v>62.62</v>
      </c>
      <c r="H36" s="44"/>
      <c r="I36" s="43"/>
      <c r="J36" s="45"/>
    </row>
    <row r="37" spans="1:10">
      <c r="A37" s="41">
        <v>29</v>
      </c>
      <c r="B37" s="46">
        <v>46053</v>
      </c>
      <c r="C37" s="42" t="s">
        <v>2032</v>
      </c>
      <c r="D37" s="42" t="s">
        <v>2033</v>
      </c>
      <c r="E37" s="43"/>
      <c r="F37" s="44"/>
      <c r="G37" s="43">
        <v>200</v>
      </c>
      <c r="H37" s="44"/>
      <c r="I37" s="43"/>
      <c r="J37" s="45"/>
    </row>
    <row r="38" spans="1:10">
      <c r="A38" s="41">
        <v>30</v>
      </c>
      <c r="B38" s="46">
        <v>46053</v>
      </c>
      <c r="C38" s="42" t="s">
        <v>2034</v>
      </c>
      <c r="D38" s="42" t="s">
        <v>2035</v>
      </c>
      <c r="E38" s="43"/>
      <c r="F38" s="44"/>
      <c r="G38" s="43">
        <v>650</v>
      </c>
      <c r="H38" s="44"/>
      <c r="I38" s="43"/>
      <c r="J38" s="45"/>
    </row>
    <row r="39" spans="1:10">
      <c r="A39" s="41">
        <v>31</v>
      </c>
      <c r="B39" s="46">
        <v>46053</v>
      </c>
      <c r="C39" s="42" t="s">
        <v>2036</v>
      </c>
      <c r="D39" s="42" t="s">
        <v>68</v>
      </c>
      <c r="E39" s="43"/>
      <c r="F39" s="44"/>
      <c r="G39" s="43">
        <v>151.38999999999999</v>
      </c>
      <c r="H39" s="44"/>
      <c r="I39" s="43"/>
      <c r="J39" s="45"/>
    </row>
    <row r="40" spans="1:10">
      <c r="A40" s="41">
        <v>32</v>
      </c>
      <c r="B40" s="46">
        <v>46053</v>
      </c>
      <c r="C40" s="42" t="s">
        <v>2037</v>
      </c>
      <c r="D40" s="42" t="s">
        <v>2038</v>
      </c>
      <c r="E40" s="43"/>
      <c r="F40" s="44"/>
      <c r="G40" s="43">
        <v>66.77</v>
      </c>
      <c r="H40" s="44"/>
      <c r="I40" s="43"/>
      <c r="J40" s="45"/>
    </row>
    <row r="41" spans="1:10">
      <c r="A41" s="41">
        <v>33</v>
      </c>
      <c r="B41" s="46">
        <v>46053</v>
      </c>
      <c r="C41" s="42" t="s">
        <v>2039</v>
      </c>
      <c r="D41" s="42" t="s">
        <v>74</v>
      </c>
      <c r="E41" s="43"/>
      <c r="F41" s="44"/>
      <c r="G41" s="43"/>
      <c r="H41" s="44">
        <v>35920000</v>
      </c>
      <c r="I41" s="43"/>
      <c r="J41" s="45"/>
    </row>
    <row r="42" spans="1:10">
      <c r="A42" s="41">
        <v>34</v>
      </c>
      <c r="B42" s="46">
        <v>46053</v>
      </c>
      <c r="C42" s="42" t="s">
        <v>2040</v>
      </c>
      <c r="D42" s="42" t="s">
        <v>2041</v>
      </c>
      <c r="E42" s="43"/>
      <c r="F42" s="44"/>
      <c r="G42" s="43"/>
      <c r="H42" s="44">
        <v>5269000</v>
      </c>
      <c r="I42" s="43"/>
      <c r="J42" s="45"/>
    </row>
    <row r="43" spans="1:10" s="9" customFormat="1" ht="12.45">
      <c r="A43" s="41">
        <v>35</v>
      </c>
      <c r="B43" s="46">
        <v>46053</v>
      </c>
      <c r="C43" s="42" t="s">
        <v>2042</v>
      </c>
      <c r="D43" s="42" t="s">
        <v>162</v>
      </c>
      <c r="E43" s="43"/>
      <c r="F43" s="44"/>
      <c r="G43" s="43"/>
      <c r="H43" s="44">
        <v>11790000</v>
      </c>
      <c r="I43" s="43"/>
      <c r="J43" s="45"/>
    </row>
    <row r="44" spans="1:10">
      <c r="A44" s="41">
        <v>36</v>
      </c>
      <c r="B44" s="46">
        <v>46053</v>
      </c>
      <c r="C44" s="42" t="s">
        <v>2043</v>
      </c>
      <c r="D44" s="42" t="s">
        <v>2044</v>
      </c>
      <c r="E44" s="43"/>
      <c r="F44" s="44"/>
      <c r="G44" s="43"/>
      <c r="H44" s="44">
        <v>29657000</v>
      </c>
      <c r="I44" s="43"/>
      <c r="J44" s="45"/>
    </row>
    <row r="45" spans="1:10" s="9" customFormat="1" thickBot="1">
      <c r="A45" s="47"/>
      <c r="B45" s="48"/>
      <c r="C45" s="48"/>
      <c r="D45" s="48" t="s">
        <v>4</v>
      </c>
      <c r="E45" s="50"/>
      <c r="F45" s="49"/>
      <c r="G45" s="50">
        <v>10201.709999999999</v>
      </c>
      <c r="H45" s="49">
        <v>82636000</v>
      </c>
      <c r="I45" s="50">
        <v>41359.81</v>
      </c>
      <c r="J45" s="51">
        <f>J7+F8-H45</f>
        <v>164123376</v>
      </c>
    </row>
    <row r="46" spans="1:10">
      <c r="A46" s="74"/>
      <c r="B46" s="74"/>
      <c r="C46" s="75"/>
      <c r="D46" s="74"/>
      <c r="E46" s="76"/>
      <c r="F46" s="74"/>
      <c r="G46" s="74"/>
      <c r="H46" s="77" t="s">
        <v>14</v>
      </c>
      <c r="I46" s="74"/>
      <c r="J46" s="74"/>
    </row>
    <row r="47" spans="1:10">
      <c r="A47" s="74"/>
      <c r="B47" s="74"/>
      <c r="C47" s="75"/>
      <c r="D47" s="74"/>
      <c r="E47" s="76"/>
      <c r="F47" s="74"/>
      <c r="G47" s="74"/>
      <c r="H47" s="78" t="s">
        <v>15</v>
      </c>
      <c r="I47" s="74"/>
      <c r="J47" s="74"/>
    </row>
    <row r="73" spans="52:52">
      <c r="AZ73" s="1" t="s">
        <v>5</v>
      </c>
    </row>
  </sheetData>
  <mergeCells count="9">
    <mergeCell ref="A1:E2"/>
    <mergeCell ref="A3:J4"/>
    <mergeCell ref="A5:A6"/>
    <mergeCell ref="B5:B6"/>
    <mergeCell ref="C5:C6"/>
    <mergeCell ref="D5:D6"/>
    <mergeCell ref="E5:F5"/>
    <mergeCell ref="G5:H5"/>
    <mergeCell ref="I5:J5"/>
  </mergeCells>
  <pageMargins left="0.5" right="0" top="0.5" bottom="0.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0101</vt:lpstr>
      <vt:lpstr>0201</vt:lpstr>
      <vt:lpstr>0301</vt:lpstr>
      <vt:lpstr>0401</vt:lpstr>
      <vt:lpstr>0501</vt:lpstr>
      <vt:lpstr>0601</vt:lpstr>
      <vt:lpstr>0701</vt:lpstr>
      <vt:lpstr>0801</vt:lpstr>
      <vt:lpstr>0901</vt:lpstr>
      <vt:lpstr>1001</vt:lpstr>
      <vt:lpstr>1101</vt:lpstr>
      <vt:lpstr>1201</vt:lpstr>
      <vt:lpstr>1301</vt:lpstr>
      <vt:lpstr>1401</vt:lpstr>
      <vt:lpstr>1501</vt:lpstr>
      <vt:lpstr>1601</vt:lpstr>
      <vt:lpstr>1701</vt:lpstr>
      <vt:lpstr>1801</vt:lpstr>
      <vt:lpstr>1901</vt:lpstr>
      <vt:lpstr>2001</vt:lpstr>
      <vt:lpstr>2101</vt:lpstr>
      <vt:lpstr>2201</vt:lpstr>
      <vt:lpstr>2301</vt:lpstr>
      <vt:lpstr>2401</vt:lpstr>
      <vt:lpstr>2501</vt:lpstr>
      <vt:lpstr>2601</vt:lpstr>
      <vt:lpstr>2701</vt:lpstr>
      <vt:lpstr>2801</vt:lpstr>
      <vt:lpstr>2901</vt:lpstr>
      <vt:lpstr>3001</vt:lpstr>
      <vt:lpstr>3101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790 SFF</dc:creator>
  <cp:lastModifiedBy>dongdawu@gmail.com</cp:lastModifiedBy>
  <cp:lastPrinted>2026-05-03T03:37:34Z</cp:lastPrinted>
  <dcterms:created xsi:type="dcterms:W3CDTF">2026-04-28T07:37:07Z</dcterms:created>
  <dcterms:modified xsi:type="dcterms:W3CDTF">2026-05-03T03:37:38Z</dcterms:modified>
</cp:coreProperties>
</file>