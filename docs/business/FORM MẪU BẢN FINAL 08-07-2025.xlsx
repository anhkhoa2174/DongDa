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925"/>
  <workbookPr codeName="ThisWorkbook" defaultThemeVersion="166925"/>
  <mc:AlternateContent xmlns:mc="http://schemas.openxmlformats.org/markup-compatibility/2006">
    <mc:Choice Requires="x15">
      <x15ac:absPath xmlns:x15ac="http://schemas.microsoft.com/office/spreadsheetml/2010/11/ac" url="F:\Utility\Tou\Tou\Form Phiếu nhận tiền\"/>
    </mc:Choice>
  </mc:AlternateContent>
  <xr:revisionPtr revIDLastSave="0" documentId="8_{C05E3D6B-1E20-4637-9509-09CA03F6B590}" xr6:coauthVersionLast="47" xr6:coauthVersionMax="47" xr10:uidLastSave="{00000000-0000-0000-0000-000000000000}"/>
  <bookViews>
    <workbookView xWindow="-103" yWindow="-103" windowWidth="22149" windowHeight="11949" xr2:uid="{00000000-000D-0000-FFFF-FFFF00000000}"/>
  </bookViews>
  <sheets>
    <sheet name="PHIẾU ACB (VN)" sheetId="1" r:id="rId1"/>
    <sheet name="PHIẾU ACB (NƯỚC NGOÀI)" sheetId="6" r:id="rId2"/>
    <sheet name="ĐIỀN THÔNG TIN" sheetId="3" r:id="rId3"/>
    <sheet name="MẪU CHI DÙM" sheetId="7" r:id="rId4"/>
    <sheet name="PHIẾU MSB (vn)" sheetId="8" r:id="rId5"/>
    <sheet name="PHIẾU MSB (nước ngoài)" sheetId="9" r:id="rId6"/>
    <sheet name="nháp" sheetId="4" r:id="rId7"/>
  </sheets>
  <externalReferences>
    <externalReference r:id="rId8"/>
  </externalReferences>
  <definedNames>
    <definedName name="danhsachchonnuocngoai2">OFFSET(nháp!$A$1,MATCH('ĐIỀN THÔNG TIN'!$F$12&amp;"*",DSNUOC,0)-1,0,COUNTIF(DSNUOC,'ĐIỀN THÔNG TIN'!$F$12&amp;"*"),1)</definedName>
    <definedName name="DSBANG">OFFSET([1]NHÁP!$Q$2,0,0,COUNTA([1]!Table2[[#All],[BANG]])-1,1)</definedName>
    <definedName name="DSBANGTM">OFFSET([1]NHÁP!$Q$2,MATCH([1]ĐIỀN!$B1&amp;"*",DSBANG,0)-1,0,COUNTIF(DSBANG,[1]ĐIỀN!$B1&amp;"*"),1)</definedName>
    <definedName name="DSCHON" localSheetId="2">OFFSET(nháp!$A$1,MATCH('ĐIỀN THÔNG TIN'!$B$2&amp;"*",DSNUOC,0)-1,0,COUNTIF(DSNUOC,'ĐIỀN THÔNG TIN'!$B$2&amp;"*"),1)</definedName>
    <definedName name="dschonnuocnuocngoai">OFFSET(nháp!$A$1,MATCH('ĐIỀN THÔNG TIN'!$F$2&amp;"*",DSNUOC,0)-1,0,COUNTIF(DSNUOC,'ĐIỀN THÔNG TIN'!$F$2&amp;"*"),1)</definedName>
    <definedName name="DSCHONTIEUBANGNN" localSheetId="2">OFFSET(nháp!$K$1,MATCH('ĐIỀN THÔNG TIN'!$F$3&amp;"*",DSTIEUBANG,0)-1,0,COUNTIF(DSTIEUBANG,'ĐIỀN THÔNG TIN'!$F$3&amp;"*"),1)</definedName>
    <definedName name="DSCHONTIEUBANGVN" localSheetId="2">OFFSET(nháp!$K$1,MATCH('ĐIỀN THÔNG TIN'!$B$3&amp;"*",DSTIEUBANG,0)-1,0,COUNTIF(DSTIEUBANG,'ĐIỀN THÔNG TIN'!$B$3&amp;"*"),1)</definedName>
    <definedName name="DSNUOC" localSheetId="5">OFFSET([1]NHÁP!$A$2,0,0,COUNTA([1]!Table1[[#All],[DS NƯỚC]])-1,1)</definedName>
    <definedName name="DSNUOC" localSheetId="4">OFFSET([1]NHÁP!$A$2,0,0,COUNTA([1]!Table1[[#All],[DS NƯỚC]])-1,1)</definedName>
    <definedName name="DSNUOC">OFFSET(nháp!$A$1,0,0,COUNTA(nháp!$A$1:$A$242),1)</definedName>
    <definedName name="DSNUOCTM" localSheetId="5">OFFSET([1]NHÁP!$A$2,MATCH([1]ĐIỀN!A1&amp;"*",'PHIẾU MSB (nước ngoài)'!DSNUOC,0)-1,0,COUNTIF('PHIẾU MSB (nước ngoài)'!DSNUOC,[1]ĐIỀN!A1&amp;"*"),1)</definedName>
    <definedName name="DSNUOCTM">OFFSET([1]NHÁP!$A$2,MATCH([1]ĐIỀN!A1&amp;"*",'PHIẾU MSB (vn)'!DSNUOC,0)-1,0,COUNTIF('PHIẾU MSB (vn)'!DSNUOC,[1]ĐIỀN!A1&amp;"*"),1)</definedName>
    <definedName name="DSTIEUBANG">OFFSET(nháp!$K$1,0,0,COUNTA(nháp!$K$1:$K$62),1)</definedName>
    <definedName name="dstinh">"OFFSET(Sheet2!$A$1,0,0,COUNTA(Sheet2!$A$1:$A$241),1)"</definedName>
    <definedName name="_xlnm.Print_Area" localSheetId="1">'PHIẾU ACB (NƯỚC NGOÀI)'!$A$1:$N$50</definedName>
    <definedName name="_xlnm.Print_Area" localSheetId="0">'PHIẾU ACB (VN)'!$A$1:$N$50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33" i="9" l="1"/>
  <c r="G35" i="9"/>
  <c r="C35" i="9"/>
  <c r="C33" i="9"/>
  <c r="G31" i="9"/>
  <c r="C31" i="9"/>
  <c r="G29" i="9"/>
  <c r="F27" i="9"/>
  <c r="D25" i="9"/>
  <c r="G23" i="9"/>
  <c r="C23" i="9"/>
  <c r="D21" i="9"/>
  <c r="D18" i="9"/>
  <c r="G16" i="9"/>
  <c r="D14" i="9"/>
  <c r="D12" i="9"/>
  <c r="D10" i="9"/>
  <c r="G31" i="8"/>
  <c r="C31" i="8"/>
  <c r="G29" i="8"/>
  <c r="F27" i="8"/>
  <c r="D25" i="8"/>
  <c r="G23" i="8"/>
  <c r="C23" i="8"/>
  <c r="D21" i="8"/>
  <c r="G16" i="8"/>
  <c r="D14" i="8"/>
  <c r="D12" i="8"/>
  <c r="D10" i="8"/>
  <c r="G35" i="8"/>
  <c r="D18" i="8"/>
  <c r="L20" i="7" l="1"/>
  <c r="L19" i="7"/>
  <c r="L18" i="7"/>
  <c r="L16" i="7"/>
  <c r="L15" i="7"/>
  <c r="L13" i="7"/>
  <c r="L12" i="7"/>
  <c r="L11" i="7"/>
  <c r="L10" i="7"/>
  <c r="L8" i="7"/>
  <c r="L7" i="7"/>
  <c r="L6" i="7"/>
  <c r="L3" i="7"/>
  <c r="L2" i="7"/>
  <c r="C16" i="7"/>
  <c r="C15" i="7"/>
  <c r="C13" i="7"/>
  <c r="C12" i="7"/>
  <c r="C11" i="7"/>
  <c r="C10" i="7"/>
  <c r="C8" i="7"/>
  <c r="C7" i="7"/>
  <c r="C6" i="7"/>
  <c r="C3" i="7"/>
  <c r="C2" i="7"/>
  <c r="C4" i="3" l="1"/>
  <c r="I18" i="8" s="1"/>
  <c r="G4" i="3"/>
  <c r="M21" i="6"/>
  <c r="I43" i="6"/>
  <c r="J32" i="6"/>
  <c r="M11" i="6" l="1"/>
  <c r="I18" i="9"/>
  <c r="I44" i="1"/>
  <c r="J33" i="1"/>
  <c r="B20" i="3" l="1"/>
  <c r="L6" i="4" l="1"/>
  <c r="J11" i="1" l="1"/>
  <c r="D39" i="1" s="1"/>
  <c r="K24" i="1" l="1"/>
  <c r="B28" i="6" l="1"/>
  <c r="K25" i="6"/>
  <c r="F25" i="6"/>
  <c r="D24" i="6"/>
  <c r="D22" i="6"/>
  <c r="J21" i="6"/>
  <c r="G21" i="6"/>
  <c r="C21" i="6"/>
  <c r="M19" i="6"/>
  <c r="I42" i="6" s="1"/>
  <c r="J19" i="6"/>
  <c r="G42" i="6" s="1"/>
  <c r="C19" i="6"/>
  <c r="H40" i="6" s="1"/>
  <c r="K18" i="6"/>
  <c r="H36" i="6" s="1"/>
  <c r="G18" i="6"/>
  <c r="H38" i="6" s="1"/>
  <c r="D16" i="6"/>
  <c r="D15" i="6"/>
  <c r="K14" i="6"/>
  <c r="D14" i="6"/>
  <c r="C13" i="6"/>
  <c r="D11" i="6"/>
  <c r="C38" i="6" s="1"/>
  <c r="H10" i="6"/>
  <c r="D7" i="6"/>
  <c r="D6" i="6"/>
  <c r="C36" i="6" s="1"/>
  <c r="G19" i="1"/>
  <c r="J24" i="6" l="1"/>
  <c r="H41" i="1"/>
  <c r="D22" i="1" l="1"/>
  <c r="G18" i="1"/>
  <c r="B27" i="1"/>
  <c r="F24" i="1"/>
  <c r="M19" i="1"/>
  <c r="J19" i="1"/>
  <c r="C19" i="1"/>
  <c r="K18" i="1"/>
  <c r="H37" i="1" s="1"/>
  <c r="D16" i="1"/>
  <c r="D15" i="1"/>
  <c r="K14" i="1"/>
  <c r="D14" i="1"/>
  <c r="D13" i="1"/>
  <c r="D11" i="1"/>
  <c r="H9" i="1"/>
  <c r="D7" i="1"/>
  <c r="D6" i="1"/>
  <c r="I43" i="1" l="1"/>
  <c r="G43" i="1"/>
  <c r="H39" i="1"/>
  <c r="C39" i="1"/>
  <c r="C37" i="1"/>
  <c r="D23" i="1"/>
  <c r="J23" i="1" s="1"/>
</calcChain>
</file>

<file path=xl/sharedStrings.xml><?xml version="1.0" encoding="utf-8"?>
<sst xmlns="http://schemas.openxmlformats.org/spreadsheetml/2006/main" count="699" uniqueCount="526">
  <si>
    <t>*Tiểu Bang/ Thành Phố gửi tiền (Đối với các giao dịch gửi từ Mỹ/ Mexico hay Canada)</t>
  </si>
  <si>
    <t>*City/ State (if sending from USD, Mexico or Canada)</t>
  </si>
  <si>
    <t>NGƯỜI NHẬN/ RECEIVER</t>
  </si>
  <si>
    <t>*Họ và tên
*Full name</t>
  </si>
  <si>
    <t>*Ngày sinh (ngày/ tháng/ năm)
*Date of birth (dd/mm/yyyy)</t>
  </si>
  <si>
    <t>*Điện thoại di động/ ĐT cố định
*Mobile phone/ Telephone</t>
  </si>
  <si>
    <t>*Địa chỉ hiện tại
*Present Address</t>
  </si>
  <si>
    <t>Số/ Number               Đường/ Street             Quận/ huyện/Town/ District                  Tỉnh/ thành phố/ Cty/ Province</t>
  </si>
  <si>
    <t>Thông tin về giấy tờ nhận dạng thức nhất/ Primary ID</t>
  </si>
  <si>
    <t>*Loại hình công việc hoặc Tên trường học (nếu là Sinh viên/ Học sinh)
*Employment Industry/ School name  (If Student is selected)</t>
  </si>
  <si>
    <t>NGƯỜI GỬI/ SENDER</t>
  </si>
  <si>
    <t>1, Thể hiện sự đồng ý với việc chuyển giao thông tin cá nhân của tôi trong phần đăng ký ở trên nhằm mục đích để WU và các chi nhánh thành viên tại các quốc gia như Mỹ thực hiện các dịch vụ chuyển tiền cho tôi và thực hiện các hoạt động xử lý theo đúng quy định trong mục Bảo vệ dữ liệu tương ứng các điều kiện. Tôi có quyền rút lại sự đồng ý của tôi bất cứ lúc nào</t>
  </si>
  <si>
    <t>2, Thể hiện sự đồng ý cho việc thực hiện các hoạt động lưu trữ và thông tin tiếp thị
2, Expressly consent to the carrying out of profiling activities and marketing communications</t>
  </si>
  <si>
    <t>3, Xác nhận thông tin tôi cung cấp là chính xác và tôi đã đọc và chấp nhận các điều khoản và điều kiện của dịch vụ ở trang sau
3, Confirm that the information I have provided is correct and I have read and accepted the terms and conditions of the service overleaf</t>
  </si>
  <si>
    <t>Chữ ký khách hàng (Ký và ghi rõ họ tên)
Customer Signature</t>
  </si>
  <si>
    <t>Ngày
Date</t>
  </si>
  <si>
    <t>PHẦN DÀNH CHO ĐẠI LÝ ĐIỀN/ PLEASE DO NOT WRITE BELOW</t>
  </si>
  <si>
    <t>GIAO DỊCH VIÊN ĐIỀN/ OFFICE USE ONLY</t>
  </si>
  <si>
    <t>Mã số chuyển tiền
MTCN</t>
  </si>
  <si>
    <t>Số tiền chuyển
Principle Amount</t>
  </si>
  <si>
    <t>Phí chuyển tiền
Transfer fee</t>
  </si>
  <si>
    <t>Tổng số tiền 
Total Amount Received</t>
  </si>
  <si>
    <t>Tỉ giá
Exchange Rate</t>
  </si>
  <si>
    <t>THÔNG TIN NHẬN DẠNG/ IDENTIFICATION</t>
  </si>
  <si>
    <t>Số Giấy tờ nhận dạng
ID Number</t>
  </si>
  <si>
    <t>Loại Giấy tờ nhận dạng
ID Type</t>
  </si>
  <si>
    <t>Cơ quan cấp
Issuer</t>
  </si>
  <si>
    <t>Ngày phát hành
ID Issuing date</t>
  </si>
  <si>
    <t>Mã số OPR ID
Operator number/ID</t>
  </si>
  <si>
    <t>Nhân viên giao dịch ký tên
Agent signature</t>
  </si>
  <si>
    <t>Ngày hết hạn
ID Expiry date</t>
  </si>
  <si>
    <t>Ngày 
Date</t>
  </si>
  <si>
    <t>Giờ 
Time</t>
  </si>
  <si>
    <t>Tỉ giá quy đổi áp dụng cho việc chuyển tiền ghi ở trên. Hầu hết số tiền chuyển đều được quy đổi sang đồng tiền thanh toán vào thời điểm số tiền này được gửi. Tuy nhiên, tại một số nước, pháp luật sở tại quy định số tiền chuyển chỉ được quy đổi khi tiền được chi trả. Nếu quý khách gửi tiền đến một trong những nước này, tỉ giá quy đổi ghi trên chỉ là ước tính, và tỉ giá quy đổi thực sẽ được xác định vào thời điểm chi trả. Nếu quý khách có thắc mắc về tỉ giá quy đổi được áp dụng cho việc chuyển tiền,vui lòng hỏi Đại lý. MỘT SỐ ĐIỀU KHOẢN VÀ ĐIỀU KIỆN ĐIỀU CHỈNH DỊCH VỤ CHUYỂN TIỀN MÀ BẠN ĐÃ CHỌN ĐÃ ĐƯỢC QUY ĐỊNH Ở MẶT SAU CỦA PHIẾU NÀY. KHI KÝ TÊN VÀO PHIẾU NÀY, QUÝ KHÁCH CHẤP NHẬN CÁC ĐIỀU KHOẢN VÀ ĐIỀU KIỆN ĐÓ. BÊN CẠNH CHI PHÍ CHUYỂN TIỀN,WESTERN UNION VÀ ĐẠI LÝ WESTERN UNION CÒN CÓ THÊM LỢI NHUẬN TỪ VIỆC ĐỔI TIỀN. XIN VUI LÒNG XEM CÁC THÔNG TIN QUAN TRONG LIÊN QUAN ĐẾN VIỆC ĐỔI TIỀNĐƯỢC QUY ĐỊNH Ở MẶT SAU CỦA PHIẾU NÀY. QUY KHÁCH NÊN TỰ BÁO VỆ MÌNH TRÁNH KHÔNG BỊ LỪA GẠT. HÃY CẨN THẬN KHI CÓ NGƯỜI LẠ YÊU CẦU QUY KHÁCH CHUYỂN TIỀN,
The exchange rate applicable to your transfer appears above. Most money transfers are converted into the payment currency at the time they are sent. However, in a few countries, local regulations require money transfer to be converted only when they are paid. If you are sending to one of those countries, the exchange rate noted above is only an estimate, and the actual exchange rate will be determined at the time of payment. Ask the Agent if you have questions about the exchange rate applicable to your transfer. CERTAIN TERMS AND CONDITIONS GOVERNING THE MONEY TRANSFER SERVICE YOU HAVE SELECTED ARE SET FORTH ON THE BACK OF THIS FORM. BY SIGNING THIS FORM, YOU ARE AGREEING TO THOSE TERMS AND CONDITIONS. IN ADDITION TO THE TRANSFER FEE, WESTERN UNION AND ITS AGENTS ALSO MAKE MONEY FROM THE EXCHANGE OF CURRENCIES. PLEASE SEE THE IMPORTANT INFORMATION REGARDING THE CURRENCY AND OTHER LEGAL RESTRICTIONS THAT MAY DELAY THE TRANSACTIONS SET FORM ON THE BACK OF THIS FORM. PROTECT YOURSELF FROM CONSUMER FRAUD. BE CAREFUL WHEN A STRANGER ASKS YOU TO SEND MONEY.</t>
  </si>
  <si>
    <t>*Địa chỉ đăng ký hộ khẩu (Nếu khác thông tin trên, vui lòng cung cấp)</t>
  </si>
  <si>
    <t>*Permanent Address (if different from above, please provide)</t>
  </si>
  <si>
    <t>*Mã số nhận tiền
*Money Transfer Control Number</t>
  </si>
  <si>
    <t>*Quốc gia gửi tiền
*Country of Origin</t>
  </si>
  <si>
    <t>*Loại tiền/ Số tiền nhận
*Amount expected to be received</t>
  </si>
  <si>
    <t>Tôi ký xác nhận các nội dung sau (By signing this form, I):</t>
  </si>
  <si>
    <t>1, Expressly consent to the transfer of my personal data entered above to WU and its affiliates located in countries such as U.S. for the purposes of providing the money transfer service to me and undertaking the additional data processing activities specified in the  Data Protection section of the terms and conditions. I have the right to withdraw my consent at any time</t>
  </si>
  <si>
    <t xml:space="preserve">*Quốc gia cấp                                        
*Issuing country                                </t>
  </si>
  <si>
    <t xml:space="preserve">                   </t>
  </si>
  <si>
    <t xml:space="preserve">                             </t>
  </si>
  <si>
    <t>*Ngày hết hạn
*Expiry date</t>
  </si>
  <si>
    <t xml:space="preserve">*Visa type                                     
*Issuing country                                </t>
  </si>
  <si>
    <t xml:space="preserve">*Số Visa
*Visa Number           </t>
  </si>
  <si>
    <t xml:space="preserve">*Tình trạng công việc                                                               
*Employment Status                                                 </t>
  </si>
  <si>
    <t>*Tên công ty
*Employer Name</t>
  </si>
  <si>
    <t xml:space="preserve">*Quốc gia khai sinh                                                                  
*Country of birth                                                                     </t>
  </si>
  <si>
    <t xml:space="preserve">*Người gửi và người nhận là (Vui lòng ghi rõ mối quan hệ)
The Sender is my (please indicate relationship)                            </t>
  </si>
  <si>
    <t xml:space="preserve"> </t>
  </si>
  <si>
    <t>*Mục đích giao dịch                                        *Purpose of Transaction</t>
  </si>
  <si>
    <t xml:space="preserve">*Loại giấy tờ nhận dạng                                                  
* ID type                                                                                     </t>
  </si>
  <si>
    <t>*Ngày cấp 
*Issue date</t>
  </si>
  <si>
    <t>Thất nghiệp</t>
  </si>
  <si>
    <t>Thông tin về giấy tờ nhận dạng thứ hai - Nếu quốc gia cấp của giấy tờ nhận dạng thứ nhất không phải Việt Nam và có yêu cầu thị thực vào Việt Nam.
Second ID/ Visa information - if Issuing Country of Primary ID is different from Vietnam wher Visa to Vietnam is required</t>
  </si>
  <si>
    <t>CCCD</t>
  </si>
  <si>
    <t xml:space="preserve">MTCN </t>
  </si>
  <si>
    <t xml:space="preserve">SDT </t>
  </si>
  <si>
    <t>USA</t>
  </si>
  <si>
    <t>AUSTRIA</t>
  </si>
  <si>
    <t>CAMBODIA</t>
  </si>
  <si>
    <t>CANADA</t>
  </si>
  <si>
    <t>CHINA</t>
  </si>
  <si>
    <t>CZECH REPUBLIC</t>
  </si>
  <si>
    <t>DENMARK</t>
  </si>
  <si>
    <t>FINLAND</t>
  </si>
  <si>
    <t>FRANCE</t>
  </si>
  <si>
    <t>HONG KONG</t>
  </si>
  <si>
    <t>INDIA</t>
  </si>
  <si>
    <t>INDONESIA</t>
  </si>
  <si>
    <t>JAPAN</t>
  </si>
  <si>
    <t>PHILIPPINES</t>
  </si>
  <si>
    <t>SINGAPORE</t>
  </si>
  <si>
    <t>AFGHANISTAN</t>
  </si>
  <si>
    <t>ÅLAND ISLANDS</t>
  </si>
  <si>
    <t>ALBANIA</t>
  </si>
  <si>
    <t>ALGERIA</t>
  </si>
  <si>
    <t>AMERICAN SAMOA</t>
  </si>
  <si>
    <t>ANDORRA</t>
  </si>
  <si>
    <t>ANGOLA</t>
  </si>
  <si>
    <t>ANGUILLA</t>
  </si>
  <si>
    <t>ANTARCTICA</t>
  </si>
  <si>
    <t>ANTIGUA AND BARBUDA</t>
  </si>
  <si>
    <t>ARGENTINA</t>
  </si>
  <si>
    <t>ARMENIA</t>
  </si>
  <si>
    <t>ARUBA</t>
  </si>
  <si>
    <t>AUSTRALIA</t>
  </si>
  <si>
    <t>AZERBAIJAN</t>
  </si>
  <si>
    <t>BAHAMAS</t>
  </si>
  <si>
    <t>BAHRAIN</t>
  </si>
  <si>
    <t>BANGLADESH</t>
  </si>
  <si>
    <t>BARBADOS</t>
  </si>
  <si>
    <t>BELARUS</t>
  </si>
  <si>
    <t>BELGIUM</t>
  </si>
  <si>
    <t>BELIZE</t>
  </si>
  <si>
    <t>BENIN</t>
  </si>
  <si>
    <t>BERMUDA</t>
  </si>
  <si>
    <t>BHUTAN</t>
  </si>
  <si>
    <t>BOLIVIA</t>
  </si>
  <si>
    <t>BOSNIA AND HERZEGOVINA</t>
  </si>
  <si>
    <t>BOTSWANA</t>
  </si>
  <si>
    <t>BOUVET ISLAND</t>
  </si>
  <si>
    <t>BRAZIL</t>
  </si>
  <si>
    <t>BRITISH INDIAN OCEAN TERRITORY</t>
  </si>
  <si>
    <t>BRUNEI DARUSSALAM</t>
  </si>
  <si>
    <t>BULGARIA</t>
  </si>
  <si>
    <t>BURKINA FASO</t>
  </si>
  <si>
    <t>BURUNDI</t>
  </si>
  <si>
    <t>CAMEROON</t>
  </si>
  <si>
    <t>CAPE VERDE</t>
  </si>
  <si>
    <t>CAYMAN ISLANDS</t>
  </si>
  <si>
    <t>CENTRAL AFRICAN REPUBLIC</t>
  </si>
  <si>
    <t>CHAD</t>
  </si>
  <si>
    <t>CHILE</t>
  </si>
  <si>
    <t>CHRISTMAS ISLAND</t>
  </si>
  <si>
    <t>COCOS (KEELING) ISLANDS</t>
  </si>
  <si>
    <t>COLOMBIA</t>
  </si>
  <si>
    <t>COMOROS</t>
  </si>
  <si>
    <t>CONGO</t>
  </si>
  <si>
    <t>CONGO, THE DEMOCRATIC REPUBLIC OF THE</t>
  </si>
  <si>
    <t>COOK ISLANDS</t>
  </si>
  <si>
    <t>COSTA RICA</t>
  </si>
  <si>
    <t>CÔTE D'IVOIRE</t>
  </si>
  <si>
    <t>CROATIA</t>
  </si>
  <si>
    <t>CUBA</t>
  </si>
  <si>
    <t>CYPRUS</t>
  </si>
  <si>
    <t>DJIBOUTI</t>
  </si>
  <si>
    <t>DOMINICA</t>
  </si>
  <si>
    <t>DOMINICAN REPUBLIC</t>
  </si>
  <si>
    <t>ECUADOR</t>
  </si>
  <si>
    <t>EGYPT</t>
  </si>
  <si>
    <t>EL SALVADOR</t>
  </si>
  <si>
    <t>EQUATORIAL GUINEA</t>
  </si>
  <si>
    <t>ERITREA</t>
  </si>
  <si>
    <t>ESTONIA</t>
  </si>
  <si>
    <t>ETHIOPIA</t>
  </si>
  <si>
    <t>FALKLAND ISLANDS (MALVINAS)</t>
  </si>
  <si>
    <t>FAROE ISLANDS</t>
  </si>
  <si>
    <t>FIJI</t>
  </si>
  <si>
    <t>FRENCH GUIANA</t>
  </si>
  <si>
    <t>FRENCH POLYNESIA</t>
  </si>
  <si>
    <t>FRENCH SOUTHERN TERRITORIES</t>
  </si>
  <si>
    <t>GABON</t>
  </si>
  <si>
    <t>GAMBIA</t>
  </si>
  <si>
    <t>GEORGIA</t>
  </si>
  <si>
    <t>GERMANY</t>
  </si>
  <si>
    <t>GHANA</t>
  </si>
  <si>
    <t>GIBRALTAR</t>
  </si>
  <si>
    <t>GREECE</t>
  </si>
  <si>
    <t>GREENLAND</t>
  </si>
  <si>
    <t>GRENADA</t>
  </si>
  <si>
    <t>GUADELOUPE</t>
  </si>
  <si>
    <t>GUAM</t>
  </si>
  <si>
    <t>GUATEMALA</t>
  </si>
  <si>
    <t>GUINEA</t>
  </si>
  <si>
    <t>GUINEA-BISSAU</t>
  </si>
  <si>
    <t>GUYANA</t>
  </si>
  <si>
    <t>HAITI</t>
  </si>
  <si>
    <t>HEARD ISLAND AND MCDONALD ISLANDS</t>
  </si>
  <si>
    <t>HOLY SEE (VATICAN CITY STATE)</t>
  </si>
  <si>
    <t>HONDURAS</t>
  </si>
  <si>
    <t>HUNGARY</t>
  </si>
  <si>
    <t>ICELAND</t>
  </si>
  <si>
    <t>IRAN, ISLAMIC REPUBLIC OF</t>
  </si>
  <si>
    <t>IRAQ</t>
  </si>
  <si>
    <t>IRELAND</t>
  </si>
  <si>
    <t>ISRAEL</t>
  </si>
  <si>
    <t>ITALY</t>
  </si>
  <si>
    <t>JAMAICA</t>
  </si>
  <si>
    <t>JORDAN</t>
  </si>
  <si>
    <t>KAZAKHSTAN</t>
  </si>
  <si>
    <t>KENYA</t>
  </si>
  <si>
    <t>KIRIBATI</t>
  </si>
  <si>
    <t>KOREA, DEMOCRATIC PEOPLE'S REPUBLIC OF</t>
  </si>
  <si>
    <t>KOREA, REPUBLIC OF</t>
  </si>
  <si>
    <t>KUWAIT</t>
  </si>
  <si>
    <t>KYRGYZSTAN</t>
  </si>
  <si>
    <t>LAO PEOPLE'S DEMOCRATIC REPUBLIC</t>
  </si>
  <si>
    <t>LATVIA</t>
  </si>
  <si>
    <t>LEBANON</t>
  </si>
  <si>
    <t>LESOTHO</t>
  </si>
  <si>
    <t>LIBERIA</t>
  </si>
  <si>
    <t>LIBYAN ARAB JAMAHIRIYA</t>
  </si>
  <si>
    <t>LIECHTENSTEIN</t>
  </si>
  <si>
    <t>LITHUANIA</t>
  </si>
  <si>
    <t>LUXEMBOURG</t>
  </si>
  <si>
    <t>MACAO</t>
  </si>
  <si>
    <t>MACEDONIA, THE FORMER YUGOSLAV REPUBLIC OF</t>
  </si>
  <si>
    <t>MADAGASCAR</t>
  </si>
  <si>
    <t>MALAWI</t>
  </si>
  <si>
    <t>MALAYSIA</t>
  </si>
  <si>
    <t>MALDIVES</t>
  </si>
  <si>
    <t>MALI</t>
  </si>
  <si>
    <t>MALTA</t>
  </si>
  <si>
    <t>MARSHALL ISLANDS</t>
  </si>
  <si>
    <t>MARTINIQUE</t>
  </si>
  <si>
    <t>MAURITANIA</t>
  </si>
  <si>
    <t>MAURITIUS</t>
  </si>
  <si>
    <t>MAYOTTE</t>
  </si>
  <si>
    <t>MEXICO</t>
  </si>
  <si>
    <t>MICRONESIA, FEDERATED STATES OF</t>
  </si>
  <si>
    <t>MOLDOVA, REPUBLIC OF</t>
  </si>
  <si>
    <t>MONACO</t>
  </si>
  <si>
    <t>MONGOLIA</t>
  </si>
  <si>
    <t>MONTSERRAT</t>
  </si>
  <si>
    <t>MOROCCO</t>
  </si>
  <si>
    <t>MOZAMBIQUE</t>
  </si>
  <si>
    <t>MYANMAR</t>
  </si>
  <si>
    <t>NAMIBIA</t>
  </si>
  <si>
    <t>NAURU</t>
  </si>
  <si>
    <t>NEPAL</t>
  </si>
  <si>
    <t>NETHERLANDS</t>
  </si>
  <si>
    <t>NETHERLANDS ANTILLES</t>
  </si>
  <si>
    <t>NEW CALEDONIA</t>
  </si>
  <si>
    <t>NEW ZEALAND</t>
  </si>
  <si>
    <t>NICARAGUA</t>
  </si>
  <si>
    <t>NIGER</t>
  </si>
  <si>
    <t>NIGERIA</t>
  </si>
  <si>
    <t>NIUE</t>
  </si>
  <si>
    <t>NORFOLK ISLAND</t>
  </si>
  <si>
    <t>NORTHERN MARIANA ISLANDS</t>
  </si>
  <si>
    <t>NORWAY</t>
  </si>
  <si>
    <t>OMAN</t>
  </si>
  <si>
    <t>PAKISTAN</t>
  </si>
  <si>
    <t>PALAU</t>
  </si>
  <si>
    <t>PALESTINIAN TERRITORY, OCCUPIED</t>
  </si>
  <si>
    <t>PANAMA</t>
  </si>
  <si>
    <t>PAPUA NEW GUINEA</t>
  </si>
  <si>
    <t>PARAGUAY</t>
  </si>
  <si>
    <t>PERU</t>
  </si>
  <si>
    <t>PITCAIRN</t>
  </si>
  <si>
    <t>POLAND</t>
  </si>
  <si>
    <t>PORTUGAL</t>
  </si>
  <si>
    <t>PUERTO RICO</t>
  </si>
  <si>
    <t>QATAR</t>
  </si>
  <si>
    <t>RÉUNION</t>
  </si>
  <si>
    <t>ROMANIA</t>
  </si>
  <si>
    <t>RUSSIAN FEDERATION</t>
  </si>
  <si>
    <t>RWANDA</t>
  </si>
  <si>
    <t>SAINT HELENA</t>
  </si>
  <si>
    <t>SAINT KITTS AND NEVIS</t>
  </si>
  <si>
    <t>SAINT LUCIA</t>
  </si>
  <si>
    <t>SAINT PIERRE AND MIQUELON</t>
  </si>
  <si>
    <t>SAINT VINCENT AND THE GRENADINES</t>
  </si>
  <si>
    <t>SAMOA</t>
  </si>
  <si>
    <t>SAN MARINO</t>
  </si>
  <si>
    <t>SAO TOME AND PRINCIPE</t>
  </si>
  <si>
    <t>SAUDI ARABIA</t>
  </si>
  <si>
    <t>SENEGAL</t>
  </si>
  <si>
    <t>SERBIA AND MONTENEGRO</t>
  </si>
  <si>
    <t>SEYCHELLES</t>
  </si>
  <si>
    <t>SIERRA LEONE</t>
  </si>
  <si>
    <t>SLOVAKIA</t>
  </si>
  <si>
    <t>SLOVENIA</t>
  </si>
  <si>
    <t>SOLOMON ISLANDS</t>
  </si>
  <si>
    <t>SOMALIA</t>
  </si>
  <si>
    <t>SOUTH AFRICA</t>
  </si>
  <si>
    <t>SOUTH GEORGIA AND THE SOUTH SANDWICH ISLANDS</t>
  </si>
  <si>
    <t>SPAIN</t>
  </si>
  <si>
    <t>SRI LANKA</t>
  </si>
  <si>
    <t>SUDAN</t>
  </si>
  <si>
    <t>SURINAME</t>
  </si>
  <si>
    <t>SVALBARD AND JAN MAYEN</t>
  </si>
  <si>
    <t>SWAZILAND</t>
  </si>
  <si>
    <t>SWEDEN</t>
  </si>
  <si>
    <t>SWITZERLAND</t>
  </si>
  <si>
    <t>SYRIAN ARAB REPUBLIC</t>
  </si>
  <si>
    <t>TAIWAN, PROVINCE OF CHINA</t>
  </si>
  <si>
    <t>TAJIKISTAN</t>
  </si>
  <si>
    <t>TANZANIA, UNITED REPUBLIC OF</t>
  </si>
  <si>
    <t>THAILAND</t>
  </si>
  <si>
    <t>TIMOR-LESTE</t>
  </si>
  <si>
    <t>TOGO</t>
  </si>
  <si>
    <t>TOKELAU</t>
  </si>
  <si>
    <t>TONGA</t>
  </si>
  <si>
    <t>TRINIDAD AND TOBAGO</t>
  </si>
  <si>
    <t>TUNISIA</t>
  </si>
  <si>
    <t>TURKEY</t>
  </si>
  <si>
    <t>TURKMENISTAN</t>
  </si>
  <si>
    <t>TURKS AND CAICOS ISLANDS</t>
  </si>
  <si>
    <t>TUVALU</t>
  </si>
  <si>
    <t>UGANDA</t>
  </si>
  <si>
    <t>UKRAINE</t>
  </si>
  <si>
    <t>UNITED ARAB EMIRATES</t>
  </si>
  <si>
    <t>UNITED KINGDOM</t>
  </si>
  <si>
    <t>UNITED STATES MINOR OUTLYING ISLANDS</t>
  </si>
  <si>
    <t>URUGUAY</t>
  </si>
  <si>
    <t>UZBEKISTAN</t>
  </si>
  <si>
    <t>VANUATU</t>
  </si>
  <si>
    <t>Vatican City State see HOLY SEE VA</t>
  </si>
  <si>
    <t>VENEZUELA</t>
  </si>
  <si>
    <t>VIET NAM</t>
  </si>
  <si>
    <t>VIRGIN ISLANDS, BRITISH</t>
  </si>
  <si>
    <t>VIRGIN ISLANDS, U.S.</t>
  </si>
  <si>
    <t>WALLIS AND FUTUNA</t>
  </si>
  <si>
    <t>WESTERN SAHARA</t>
  </si>
  <si>
    <t>YEMEN</t>
  </si>
  <si>
    <t>ZAMBIA</t>
  </si>
  <si>
    <t>ZIMBABWE</t>
  </si>
  <si>
    <t xml:space="preserve">Nước gửi tiền </t>
  </si>
  <si>
    <t>Tiểu bang (usa, can, mex)</t>
  </si>
  <si>
    <t>Số tiền nhận</t>
  </si>
  <si>
    <t>Tên ngươi nhận</t>
  </si>
  <si>
    <t xml:space="preserve">Ngày sinh </t>
  </si>
  <si>
    <t xml:space="preserve">Địa chỉ hiện tại </t>
  </si>
  <si>
    <t>Địa chỉ CCCD</t>
  </si>
  <si>
    <t>Loại giấy tờ tùy thân</t>
  </si>
  <si>
    <t xml:space="preserve">Số giấy tờ tùy thân </t>
  </si>
  <si>
    <t xml:space="preserve">Quốc gia cấp </t>
  </si>
  <si>
    <t xml:space="preserve">Ngày hết hạn </t>
  </si>
  <si>
    <t xml:space="preserve">Tình trạng việc làm </t>
  </si>
  <si>
    <t xml:space="preserve">Quan hệ </t>
  </si>
  <si>
    <t xml:space="preserve">Mục đích nhận tiền </t>
  </si>
  <si>
    <t xml:space="preserve">Tên người gửi </t>
  </si>
  <si>
    <t xml:space="preserve">Ngày cấp </t>
  </si>
  <si>
    <t>austrilia</t>
  </si>
  <si>
    <t xml:space="preserve">*Nơi cấp
*Place of issue               </t>
  </si>
  <si>
    <t>*Số giấy tờ nhận dạng      
* ID Number</t>
  </si>
  <si>
    <t>*Quốc tịch
*Country of citizen</t>
  </si>
  <si>
    <t>PASSPORT</t>
  </si>
  <si>
    <t>Cơ quan cấp</t>
  </si>
  <si>
    <t>CMND</t>
  </si>
  <si>
    <t xml:space="preserve">Thất nghiệp </t>
  </si>
  <si>
    <t>Người thân</t>
  </si>
  <si>
    <t>Chi phí đi lại</t>
  </si>
  <si>
    <t xml:space="preserve">Ngày nhận tiên </t>
  </si>
  <si>
    <t>chọn lựa thông số</t>
  </si>
  <si>
    <t>tự điền</t>
  </si>
  <si>
    <t>Số Passport</t>
  </si>
  <si>
    <t>Loại Visa</t>
  </si>
  <si>
    <t>Du lịch / Tourists</t>
  </si>
  <si>
    <t>Lao động / work permit</t>
  </si>
  <si>
    <t>Thẻ tạm trú</t>
  </si>
  <si>
    <t>Ngày cấp visa</t>
  </si>
  <si>
    <t>Ngày hết hạn visa</t>
  </si>
  <si>
    <t>Số visa</t>
  </si>
  <si>
    <t xml:space="preserve">Quốc gia khai sinh </t>
  </si>
  <si>
    <t xml:space="preserve">NGƯỜI NƯỚC NGOÀI </t>
  </si>
  <si>
    <t xml:space="preserve">* Câu hỏi kiểm tra (giới hạn 4 từ) </t>
  </si>
  <si>
    <t>* Test question (Limt 4 words)</t>
  </si>
  <si>
    <t xml:space="preserve">Câu trả lời </t>
  </si>
  <si>
    <t xml:space="preserve">Answers </t>
  </si>
  <si>
    <t>Số tiền nhận/Loại tiền</t>
  </si>
  <si>
    <t>USD</t>
  </si>
  <si>
    <t>VND</t>
  </si>
  <si>
    <t>Hawaii (HI)</t>
  </si>
  <si>
    <t>Arizona (AZ)</t>
  </si>
  <si>
    <t xml:space="preserve"> Georgia (GA)</t>
  </si>
  <si>
    <t xml:space="preserve"> Colorado (CO)</t>
  </si>
  <si>
    <t>Michigan (MI)</t>
  </si>
  <si>
    <t xml:space="preserve"> Massachusetts (MA)</t>
  </si>
  <si>
    <t xml:space="preserve"> Virginia (VA)</t>
  </si>
  <si>
    <t xml:space="preserve"> Illinois (IL)</t>
  </si>
  <si>
    <t xml:space="preserve"> Ohio (OH)</t>
  </si>
  <si>
    <t xml:space="preserve"> Alaska (AK)</t>
  </si>
  <si>
    <t xml:space="preserve"> Alabama (AL)</t>
  </si>
  <si>
    <t xml:space="preserve"> New York (NY)</t>
  </si>
  <si>
    <t xml:space="preserve"> Washington (WA)</t>
  </si>
  <si>
    <t xml:space="preserve"> Tennessee (TN)</t>
  </si>
  <si>
    <t xml:space="preserve"> Minnesota (MN)</t>
  </si>
  <si>
    <t xml:space="preserve"> Maryland</t>
  </si>
  <si>
    <t xml:space="preserve"> Oregon (OR)</t>
  </si>
  <si>
    <t xml:space="preserve"> South Carolina (SC)</t>
  </si>
  <si>
    <t xml:space="preserve"> Wisconsin (WI)</t>
  </si>
  <si>
    <t xml:space="preserve"> Missouri (MO)</t>
  </si>
  <si>
    <t xml:space="preserve"> Utah (UT)</t>
  </si>
  <si>
    <t xml:space="preserve"> Indiana (IN)</t>
  </si>
  <si>
    <t xml:space="preserve"> Louisiana (LA)</t>
  </si>
  <si>
    <t xml:space="preserve"> Connecticut (CT)</t>
  </si>
  <si>
    <t xml:space="preserve"> Kentucky (KY)</t>
  </si>
  <si>
    <t xml:space="preserve"> Oklahoma (OK)</t>
  </si>
  <si>
    <t xml:space="preserve"> Nevada (NV)</t>
  </si>
  <si>
    <t xml:space="preserve"> Maine (ME)</t>
  </si>
  <si>
    <t xml:space="preserve"> Montana (MT)</t>
  </si>
  <si>
    <t xml:space="preserve"> Mississippi (MS)</t>
  </si>
  <si>
    <t xml:space="preserve"> New Mexico (NM)</t>
  </si>
  <si>
    <t xml:space="preserve"> Rhode Island (RI)</t>
  </si>
  <si>
    <t xml:space="preserve"> Lowa (IA)</t>
  </si>
  <si>
    <t xml:space="preserve"> Kansas (KS)</t>
  </si>
  <si>
    <t xml:space="preserve"> Nebraska (NE)</t>
  </si>
  <si>
    <t xml:space="preserve"> Wyoming (WY).</t>
  </si>
  <si>
    <t xml:space="preserve"> Arkansas (AR)</t>
  </si>
  <si>
    <t xml:space="preserve"> Vermont (VT)</t>
  </si>
  <si>
    <t xml:space="preserve"> DeLaware (DE)</t>
  </si>
  <si>
    <t xml:space="preserve"> Tây Virginia (WV)</t>
  </si>
  <si>
    <t xml:space="preserve"> Idaho (ID)</t>
  </si>
  <si>
    <t xml:space="preserve"> Nam Dakota (SD)</t>
  </si>
  <si>
    <t xml:space="preserve"> New Hampshire (NH)</t>
  </si>
  <si>
    <t xml:space="preserve"> Bắc Dakota (ND)</t>
  </si>
  <si>
    <t>Ontario (On)</t>
  </si>
  <si>
    <t>Québec (		Qc)</t>
  </si>
  <si>
    <t>Nova Scotia (Ns)</t>
  </si>
  <si>
    <t>New Brunswick (Nb)</t>
  </si>
  <si>
    <t>Manitoba (Mb)</t>
  </si>
  <si>
    <t>British Columbia (Bc)</t>
  </si>
  <si>
    <t>Đảo Hoàng tử Edward (Pe)</t>
  </si>
  <si>
    <t>Saskatchewan (Sk)</t>
  </si>
  <si>
    <t>Alberta (Ab)</t>
  </si>
  <si>
    <t>Newfoundland và Labrador (Nl)</t>
  </si>
  <si>
    <t>Florida (FL)</t>
  </si>
  <si>
    <t>Texas (TX)</t>
  </si>
  <si>
    <t>New Jersey (NJ)</t>
  </si>
  <si>
    <t>Pennsylvania (PA)</t>
  </si>
  <si>
    <t>Bắc Carolina (NC)</t>
  </si>
  <si>
    <r>
      <rPr>
        <sz val="13"/>
        <rFont val="Times New Roman"/>
        <family val="1"/>
      </rPr>
      <t>CA</t>
    </r>
    <r>
      <rPr>
        <sz val="13"/>
        <color theme="1"/>
        <rFont val="Times New Roman"/>
        <family val="2"/>
      </rPr>
      <t xml:space="preserve"> California </t>
    </r>
  </si>
  <si>
    <t>KHONG DIEN</t>
  </si>
  <si>
    <t>YEOH JIA JUN</t>
  </si>
  <si>
    <t>30/08/1996</t>
  </si>
  <si>
    <t>0337378229</t>
  </si>
  <si>
    <t>75/9 BINH QUOI THANH DA BINH THANH</t>
  </si>
  <si>
    <t>A60556819</t>
  </si>
  <si>
    <t>19/12/2023</t>
  </si>
  <si>
    <t>19/12/2028</t>
  </si>
  <si>
    <t>426-733-0109</t>
  </si>
  <si>
    <t>Buôn bán nhỏ/ Small business</t>
  </si>
  <si>
    <t>Công nghệ thông tin/ Information technology</t>
  </si>
  <si>
    <t>Dịch vụ du lịch/ tourists</t>
  </si>
  <si>
    <t>Dịch vụ làm đẹp/ beauty</t>
  </si>
  <si>
    <t>Giáo dục / education</t>
  </si>
  <si>
    <t>Kinh doanh/ business</t>
  </si>
  <si>
    <t>Kỹ sư/ engineer</t>
  </si>
  <si>
    <t>Lao động phổ thông/ general labor</t>
  </si>
  <si>
    <t>Nghề tự do / Freelancer</t>
  </si>
  <si>
    <t xml:space="preserve">Nghỉ Hưu/ retired </t>
  </si>
  <si>
    <t>Nhân viên VP/ office staff</t>
  </si>
  <si>
    <t>Nhân viên y tế/ Healthcare</t>
  </si>
  <si>
    <t>Nội trợ/ Housewife</t>
  </si>
  <si>
    <t>Sinh Viên/ student</t>
  </si>
  <si>
    <t>Tài xế/ driver</t>
  </si>
  <si>
    <t>Thất nghiệp / unemployed</t>
  </si>
  <si>
    <t>Xây dựng/ Construction</t>
  </si>
  <si>
    <t>Phục vụ tôn giáo/ religious</t>
  </si>
  <si>
    <t>Chi phí hỗ trợ nhà ở/ gia đình (FAMILY SUPPORT)</t>
  </si>
  <si>
    <t>Chi phí đi lại (TRAVEL EXPENSE)</t>
  </si>
  <si>
    <t>Quà tặng (GIFT)</t>
  </si>
  <si>
    <t>Anh em (BROTHER)</t>
  </si>
  <si>
    <t>Bạn bè (FRIENDS</t>
  </si>
  <si>
    <t>Cha/mẹ (FATHER/MOTHER)</t>
  </si>
  <si>
    <t>Chị em (SISTER)</t>
  </si>
  <si>
    <t>Chồng (HUSBAND)</t>
  </si>
  <si>
    <t>Con/cháu (CHILD)</t>
  </si>
  <si>
    <t>Gia đình (FAMILY)</t>
  </si>
  <si>
    <t>Người thân (RELATIVE)</t>
  </si>
  <si>
    <t>Ông bà (GRAND PARENTS)</t>
  </si>
  <si>
    <t>Vợ / WIFE</t>
  </si>
  <si>
    <t>MTCN:</t>
  </si>
  <si>
    <t>Họ và tên:</t>
  </si>
  <si>
    <t>Số tiền:</t>
  </si>
  <si>
    <t>——————————-</t>
  </si>
  <si>
    <t>Địa chỉ:</t>
  </si>
  <si>
    <t>Địa chỉ 2 (nếu có):</t>
  </si>
  <si>
    <t>Số điện thoại:</t>
  </si>
  <si>
    <t>CCCD/Hộ chiếu:</t>
  </si>
  <si>
    <t>Ngày hết hạn:</t>
  </si>
  <si>
    <t>Ngày cấp:</t>
  </si>
  <si>
    <t>Ngày sinh:</t>
  </si>
  <si>
    <t>Nghề nghiệp:</t>
  </si>
  <si>
    <t>Mục đích giao dịch:</t>
  </si>
  <si>
    <t>——————————</t>
  </si>
  <si>
    <t>Số VISA (Nếu có):</t>
  </si>
  <si>
    <t>VIỆT NAM</t>
  </si>
  <si>
    <t>TỰ ĐIỀN</t>
  </si>
  <si>
    <t>NƯỚC NGOÀI</t>
  </si>
  <si>
    <t>275-145-4064</t>
  </si>
  <si>
    <t>ALEX ROBERTS</t>
  </si>
  <si>
    <t>21/06/1983</t>
  </si>
  <si>
    <t>0783269349</t>
  </si>
  <si>
    <t>97DUONG 66 P THAO DIEN Q2</t>
  </si>
  <si>
    <t>146171983</t>
  </si>
  <si>
    <t>11/04/2024</t>
  </si>
  <si>
    <t>11/04/2034</t>
  </si>
  <si>
    <t>F-146171983</t>
  </si>
  <si>
    <t>17/05/2025</t>
  </si>
  <si>
    <t>30/06/2025</t>
  </si>
  <si>
    <t>JAY ROBERTS</t>
  </si>
  <si>
    <t>20-06-2025</t>
  </si>
  <si>
    <t>PHIẾU NHẬN TIỀN- TO RECEIVE MONEY</t>
  </si>
  <si>
    <t>(Sử dụng cho Đại lý chi trả ngoại tệ của MSB, Áp dụng cho các ĐTKH không yêu cầu sử dụng mẫu của ĐTKH)</t>
  </si>
  <si>
    <t>* Tên Đối tác Kiều hối</t>
  </si>
  <si>
    <t>*Mã Số Nhận Tiền</t>
  </si>
  <si>
    <t>*Money Transfer Control Number</t>
  </si>
  <si>
    <t>* Tên người gửi tiền</t>
  </si>
  <si>
    <t>* Full Name of Sender</t>
  </si>
  <si>
    <t>*Quốc Gia Gửi Tiền</t>
  </si>
  <si>
    <t>*Country Of Origin</t>
  </si>
  <si>
    <t>*Tiểu Bang/Thành Phố Gửi Tiền (Đối Với Các Giao Dịch Gửi Đi từ Mỹ, Mexico hoặc Canada)</t>
  </si>
  <si>
    <t>*Expected Payout City/State (If Sending To USA, Mexico Or Canada)</t>
  </si>
  <si>
    <t>*Loại Tiền/Số Tiền Nhận</t>
  </si>
  <si>
    <t>*Amount Expected To Be Received</t>
  </si>
  <si>
    <t>NGƯỜI NHẬN/RECEIVER</t>
  </si>
  <si>
    <t>*Họ và tên:</t>
  </si>
  <si>
    <t>*Full Name</t>
  </si>
  <si>
    <t>*Ngày sinh (ngày/tháng/năm):</t>
  </si>
  <si>
    <t>*Điện thoại di động/ĐT cố định:</t>
  </si>
  <si>
    <t>*Date of birth (dd/mm/yyyy)</t>
  </si>
  <si>
    <t>*Mobile phone/Telephone</t>
  </si>
  <si>
    <t>*Địa chỉ hiện tại</t>
  </si>
  <si>
    <t>*Present Address</t>
  </si>
  <si>
    <t>*Địa chỉ đăng ký thường trú (Nếu khác thông tin trên vui lòng cung cấp)</t>
  </si>
  <si>
    <t>*Permanent Address (if different from adove, please provide)</t>
  </si>
  <si>
    <t>*Loại giấy tờ nhận dạng:</t>
  </si>
  <si>
    <t>*Số giấy tờ nhận dạng:</t>
  </si>
  <si>
    <t>*ID type</t>
  </si>
  <si>
    <t>*ID Number</t>
  </si>
  <si>
    <t>*Ngày cấp</t>
  </si>
  <si>
    <t>*Ngày hết hạn:</t>
  </si>
  <si>
    <t>*Issue date</t>
  </si>
  <si>
    <t>*Expiry date</t>
  </si>
  <si>
    <t>*Quốc gia cấp:</t>
  </si>
  <si>
    <t>*Nơi cấp:</t>
  </si>
  <si>
    <t>*Issuing Country</t>
  </si>
  <si>
    <t>*Place of issue</t>
  </si>
  <si>
    <t>*Quốc gia khai sinh:</t>
  </si>
  <si>
    <t>*Quốc tịch:</t>
  </si>
  <si>
    <t>*Country of birth</t>
  </si>
  <si>
    <t>*Country of citizen</t>
  </si>
  <si>
    <t>PHẦN DÀNH CHO KHÁCH HÀNG 
(Ký, ghi họ tên và xác nhận đã nhận đủ tiền)</t>
  </si>
  <si>
    <t>PHẦN DÀNH CHO ĐẠI LÝ CHI TRẢ NGOẠI TỆ</t>
  </si>
  <si>
    <t xml:space="preserve">Người nhận tiền  </t>
  </si>
  <si>
    <t>Ngày hiệu lực:</t>
  </si>
  <si>
    <t>Giờ:</t>
  </si>
  <si>
    <t xml:space="preserve">Giao dịch viên   </t>
  </si>
  <si>
    <t>Kiểm soát viên</t>
  </si>
  <si>
    <t>Cục cảnh sát QLHC về TTXH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</si>
</sst>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7" x14ac:knownFonts="1">
    <font>
      <sz val="13"/>
      <color theme="1"/>
      <name val="Times New Roman"/>
      <family val="2"/>
    </font>
    <font>
      <sz val="12"/>
      <color theme="1"/>
      <name val="Times New Roman"/>
      <family val="2"/>
    </font>
    <font>
      <sz val="11"/>
      <color theme="1"/>
      <name val="Times New Roman"/>
      <family val="1"/>
    </font>
    <font>
      <b/>
      <sz val="11"/>
      <color theme="1"/>
      <name val="Times New Roman"/>
      <family val="1"/>
    </font>
    <font>
      <sz val="9"/>
      <color theme="1"/>
      <name val="Times New Roman"/>
      <family val="1"/>
    </font>
    <font>
      <sz val="8"/>
      <color theme="1"/>
      <name val="Times New Roman"/>
      <family val="1"/>
    </font>
    <font>
      <sz val="6"/>
      <color theme="1"/>
      <name val="Times New Roman"/>
      <family val="1"/>
    </font>
    <font>
      <b/>
      <sz val="9"/>
      <color theme="1"/>
      <name val="Times New Roman"/>
      <family val="1"/>
    </font>
    <font>
      <sz val="11"/>
      <color rgb="FFFF0000"/>
      <name val="Times New Roman"/>
      <family val="1"/>
    </font>
    <font>
      <sz val="10"/>
      <color theme="1"/>
      <name val="Times New Roman"/>
      <family val="1"/>
    </font>
    <font>
      <b/>
      <sz val="10"/>
      <color theme="1"/>
      <name val="Times New Roman"/>
      <family val="1"/>
    </font>
    <font>
      <b/>
      <sz val="12"/>
      <color theme="1"/>
      <name val="Times New Roman"/>
      <family val="1"/>
    </font>
    <font>
      <b/>
      <sz val="10"/>
      <color rgb="FFFF0000"/>
      <name val="Times New Roman"/>
      <family val="1"/>
    </font>
    <font>
      <sz val="12"/>
      <color theme="1"/>
      <name val="Arial"/>
      <family val="2"/>
    </font>
    <font>
      <b/>
      <sz val="18"/>
      <color rgb="FFFF0000"/>
      <name val="Times New Roman"/>
      <family val="1"/>
    </font>
    <font>
      <b/>
      <sz val="16"/>
      <color rgb="FFFF0000"/>
      <name val="Times New Roman"/>
      <family val="1"/>
    </font>
    <font>
      <sz val="12"/>
      <color theme="1"/>
      <name val="Times New Roman"/>
      <family val="1"/>
    </font>
    <font>
      <sz val="18"/>
      <color theme="1"/>
      <name val="Times New Roman"/>
      <family val="1"/>
    </font>
    <font>
      <b/>
      <sz val="11"/>
      <color rgb="FFFF0000"/>
      <name val="Times New Roman"/>
      <family val="1"/>
    </font>
    <font>
      <b/>
      <sz val="12"/>
      <color rgb="FFFF0000"/>
      <name val="Times New Roman"/>
      <family val="1"/>
    </font>
    <font>
      <b/>
      <sz val="16"/>
      <color theme="1"/>
      <name val="Times New Roman"/>
      <family val="1"/>
    </font>
    <font>
      <sz val="18"/>
      <color rgb="FFFF0000"/>
      <name val="Times New Roman"/>
      <family val="1"/>
    </font>
    <font>
      <b/>
      <sz val="22"/>
      <color theme="7"/>
      <name val="Times New Roman"/>
      <family val="1"/>
    </font>
    <font>
      <b/>
      <sz val="22"/>
      <color rgb="FFFFFF00"/>
      <name val="Times New Roman"/>
      <family val="1"/>
    </font>
    <font>
      <b/>
      <sz val="14"/>
      <color rgb="FFFF0000"/>
      <name val="Times New Roman"/>
      <family val="1"/>
    </font>
    <font>
      <sz val="14"/>
      <color theme="1"/>
      <name val="Times New Roman"/>
      <family val="1"/>
    </font>
    <font>
      <b/>
      <sz val="14"/>
      <color theme="1"/>
      <name val="Times New Roman"/>
      <family val="1"/>
    </font>
    <font>
      <sz val="14"/>
      <color rgb="FFFF0000"/>
      <name val="Times New Roman"/>
      <family val="1"/>
    </font>
    <font>
      <b/>
      <sz val="20"/>
      <color rgb="FFFF0000"/>
      <name val="Times New Roman"/>
      <family val="1"/>
    </font>
    <font>
      <sz val="13"/>
      <name val="Times New Roman"/>
      <family val="1"/>
    </font>
    <font>
      <sz val="13"/>
      <color theme="1"/>
      <name val="Times New Roman"/>
      <family val="1"/>
    </font>
    <font>
      <sz val="11"/>
      <color rgb="FF333333"/>
      <name val="Arial"/>
      <family val="2"/>
    </font>
    <font>
      <sz val="15"/>
      <color rgb="FF040C28"/>
      <name val="Arial"/>
      <family val="2"/>
    </font>
    <font>
      <b/>
      <sz val="13"/>
      <color theme="1"/>
      <name val="Times New Roman"/>
      <family val="1"/>
    </font>
    <font>
      <b/>
      <sz val="18"/>
      <color theme="1"/>
      <name val="Times New Roman"/>
      <family val="1"/>
    </font>
    <font>
      <sz val="10"/>
      <color theme="1"/>
      <name val="Times New Roman"/>
      <family val="2"/>
    </font>
    <font>
      <b/>
      <sz val="8"/>
      <color theme="1"/>
      <name val="Times New Roman"/>
      <family val="1"/>
    </font>
  </fonts>
  <fills count="14">
    <fill>
      <patternFill patternType="none"/>
    </fill>
    <fill>
      <patternFill patternType="gray125"/>
    </fill>
    <fill>
      <patternFill patternType="solid">
        <fgColor rgb="FFFFFF00"/>
        <bgColor indexed="64"/>
      </patternFill>
    </fill>
    <fill>
      <patternFill patternType="solid">
        <fgColor theme="5"/>
        <bgColor indexed="64"/>
      </patternFill>
    </fill>
    <fill>
      <patternFill patternType="solid">
        <fgColor theme="8"/>
        <bgColor indexed="64"/>
      </patternFill>
    </fill>
    <fill>
      <patternFill patternType="solid">
        <fgColor rgb="FFE8F0FE"/>
        <bgColor indexed="64"/>
      </patternFill>
    </fill>
    <fill>
      <patternFill patternType="solid">
        <fgColor rgb="FFFFFFFF"/>
        <bgColor indexed="64"/>
      </patternFill>
    </fill>
    <fill>
      <patternFill patternType="solid">
        <fgColor theme="8" tint="0.59999389629810485"/>
        <bgColor indexed="64"/>
      </patternFill>
    </fill>
    <fill>
      <patternFill patternType="solid">
        <fgColor theme="0" tint="-0.34998626667073579"/>
        <bgColor indexed="64"/>
      </patternFill>
    </fill>
    <fill>
      <patternFill patternType="solid">
        <fgColor theme="0"/>
        <bgColor indexed="64"/>
      </patternFill>
    </fill>
    <fill>
      <patternFill patternType="solid">
        <fgColor theme="7" tint="0.79998168889431442"/>
        <bgColor indexed="64"/>
      </patternFill>
    </fill>
    <fill>
      <patternFill patternType="solid">
        <fgColor rgb="FFFF0000"/>
        <bgColor indexed="64"/>
      </patternFill>
    </fill>
    <fill>
      <patternFill patternType="solid">
        <fgColor rgb="FFF3B9E2"/>
        <bgColor indexed="64"/>
      </patternFill>
    </fill>
    <fill>
      <patternFill patternType="solid">
        <fgColor theme="5" tint="0.79998168889431442"/>
        <bgColor indexed="64"/>
      </patternFill>
    </fill>
  </fills>
  <borders count="21">
    <border>
      <left/>
      <right/>
      <top/>
      <bottom/>
      <diagonal/>
    </border>
    <border>
      <left/>
      <right/>
      <top/>
      <bottom style="medium">
        <color indexed="64"/>
      </bottom>
      <diagonal/>
    </border>
    <border>
      <left/>
      <right/>
      <top style="medium">
        <color indexed="64"/>
      </top>
      <bottom style="medium">
        <color indexed="64"/>
      </bottom>
      <diagonal/>
    </border>
    <border>
      <left/>
      <right/>
      <top style="medium">
        <color indexed="64"/>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medium">
        <color rgb="FFCED6E2"/>
      </left>
      <right style="medium">
        <color rgb="FFCED6E2"/>
      </right>
      <top style="medium">
        <color rgb="FFCED6E2"/>
      </top>
      <bottom style="medium">
        <color rgb="FFCED6E2"/>
      </bottom>
      <diagonal/>
    </border>
    <border>
      <left style="medium">
        <color rgb="FFCED6E2"/>
      </left>
      <right/>
      <top style="medium">
        <color rgb="FFCED6E2"/>
      </top>
      <bottom style="medium">
        <color rgb="FFCED6E2"/>
      </bottom>
      <diagonal/>
    </border>
    <border>
      <left style="medium">
        <color rgb="FFCED6E2"/>
      </left>
      <right style="medium">
        <color rgb="FFCED6E2"/>
      </right>
      <top/>
      <bottom/>
      <diagonal/>
    </border>
    <border>
      <left style="medium">
        <color indexed="64"/>
      </left>
      <right style="medium">
        <color indexed="64"/>
      </right>
      <top style="medium">
        <color indexed="64"/>
      </top>
      <bottom style="medium">
        <color indexed="64"/>
      </bottom>
      <diagonal/>
    </border>
    <border>
      <left style="thin">
        <color indexed="64"/>
      </left>
      <right style="thin">
        <color indexed="64"/>
      </right>
      <top style="thin">
        <color indexed="64"/>
      </top>
      <bottom/>
      <diagonal/>
    </border>
    <border>
      <left/>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top/>
      <bottom/>
      <diagonal/>
    </border>
    <border>
      <left/>
      <right style="thin">
        <color indexed="64"/>
      </right>
      <top/>
      <bottom/>
      <diagonal/>
    </border>
  </borders>
  <cellStyleXfs count="2">
    <xf numFmtId="0" fontId="0" fillId="0" borderId="0"/>
    <xf numFmtId="0" fontId="1" fillId="0" borderId="0"/>
  </cellStyleXfs>
  <cellXfs count="197">
    <xf numFmtId="0" fontId="0" fillId="0" borderId="0" xfId="0"/>
    <xf numFmtId="0" fontId="11" fillId="0" borderId="0" xfId="0" applyFont="1"/>
    <xf numFmtId="0" fontId="11" fillId="2" borderId="0" xfId="0" applyFont="1" applyFill="1"/>
    <xf numFmtId="0" fontId="11" fillId="3" borderId="0" xfId="0" applyFont="1" applyFill="1"/>
    <xf numFmtId="0" fontId="11" fillId="4" borderId="0" xfId="0" applyFont="1" applyFill="1"/>
    <xf numFmtId="0" fontId="13" fillId="5" borderId="7" xfId="0" applyFont="1" applyFill="1" applyBorder="1" applyAlignment="1">
      <alignment vertical="center" wrapText="1"/>
    </xf>
    <xf numFmtId="0" fontId="13" fillId="6" borderId="7" xfId="0" applyFont="1" applyFill="1" applyBorder="1" applyAlignment="1">
      <alignment vertical="center" wrapText="1"/>
    </xf>
    <xf numFmtId="0" fontId="13" fillId="6" borderId="8" xfId="0" applyFont="1" applyFill="1" applyBorder="1" applyAlignment="1">
      <alignment horizontal="center" vertical="center" wrapText="1"/>
    </xf>
    <xf numFmtId="0" fontId="13" fillId="6" borderId="9" xfId="0" applyFont="1" applyFill="1" applyBorder="1" applyAlignment="1">
      <alignment vertical="center" wrapText="1"/>
    </xf>
    <xf numFmtId="0" fontId="2" fillId="0" borderId="0" xfId="0" applyFont="1" applyAlignment="1">
      <alignment horizontal="left" vertical="center"/>
    </xf>
    <xf numFmtId="0" fontId="8" fillId="0" borderId="0" xfId="0" applyFont="1" applyAlignment="1">
      <alignment horizontal="left" vertical="center"/>
    </xf>
    <xf numFmtId="0" fontId="9" fillId="0" borderId="0" xfId="0" applyFont="1" applyAlignment="1">
      <alignment horizontal="left" vertical="center"/>
    </xf>
    <xf numFmtId="0" fontId="9" fillId="0" borderId="1" xfId="0" applyFont="1" applyBorder="1" applyAlignment="1">
      <alignment horizontal="left" vertical="center"/>
    </xf>
    <xf numFmtId="0" fontId="11" fillId="0" borderId="0" xfId="0" applyFont="1" applyAlignment="1">
      <alignment horizontal="left" vertical="center"/>
    </xf>
    <xf numFmtId="0" fontId="9" fillId="0" borderId="1" xfId="0" applyFont="1" applyBorder="1" applyAlignment="1">
      <alignment horizontal="left" vertical="center" wrapText="1"/>
    </xf>
    <xf numFmtId="0" fontId="2" fillId="0" borderId="0" xfId="0" applyFont="1" applyAlignment="1">
      <alignment horizontal="left" vertical="center" wrapText="1"/>
    </xf>
    <xf numFmtId="0" fontId="5" fillId="0" borderId="0" xfId="0" applyFont="1" applyAlignment="1">
      <alignment horizontal="left" vertical="center"/>
    </xf>
    <xf numFmtId="0" fontId="7" fillId="0" borderId="0" xfId="0" applyFont="1" applyAlignment="1">
      <alignment horizontal="left" vertical="center" wrapText="1"/>
    </xf>
    <xf numFmtId="0" fontId="5" fillId="0" borderId="0" xfId="0" applyFont="1" applyAlignment="1">
      <alignment horizontal="left" vertical="center" wrapText="1"/>
    </xf>
    <xf numFmtId="0" fontId="4" fillId="0" borderId="0" xfId="0" applyFont="1" applyAlignment="1">
      <alignment horizontal="left" vertical="center"/>
    </xf>
    <xf numFmtId="0" fontId="2" fillId="2" borderId="0" xfId="0" applyFont="1" applyFill="1" applyAlignment="1">
      <alignment horizontal="left" vertical="center"/>
    </xf>
    <xf numFmtId="0" fontId="3" fillId="0" borderId="0" xfId="0" applyFont="1" applyAlignment="1">
      <alignment horizontal="left" vertical="center"/>
    </xf>
    <xf numFmtId="0" fontId="4" fillId="0" borderId="0" xfId="0" applyFont="1" applyAlignment="1">
      <alignment horizontal="left" vertical="center" wrapText="1"/>
    </xf>
    <xf numFmtId="0" fontId="2" fillId="0" borderId="5" xfId="0" applyFont="1" applyBorder="1" applyAlignment="1">
      <alignment horizontal="left" vertical="center"/>
    </xf>
    <xf numFmtId="0" fontId="2" fillId="0" borderId="6" xfId="0" applyFont="1" applyBorder="1" applyAlignment="1">
      <alignment horizontal="left" vertical="center"/>
    </xf>
    <xf numFmtId="0" fontId="4" fillId="0" borderId="4" xfId="0" applyFont="1" applyBorder="1" applyAlignment="1">
      <alignment horizontal="left" vertical="center" wrapText="1"/>
    </xf>
    <xf numFmtId="0" fontId="2" fillId="0" borderId="4" xfId="0" applyFont="1" applyBorder="1" applyAlignment="1">
      <alignment horizontal="left" vertical="center"/>
    </xf>
    <xf numFmtId="0" fontId="10" fillId="8" borderId="0" xfId="0" applyFont="1" applyFill="1" applyAlignment="1">
      <alignment horizontal="left" vertical="center"/>
    </xf>
    <xf numFmtId="0" fontId="9" fillId="8" borderId="0" xfId="0" applyFont="1" applyFill="1" applyAlignment="1">
      <alignment horizontal="left" vertical="center"/>
    </xf>
    <xf numFmtId="0" fontId="11" fillId="9" borderId="4" xfId="0" applyFont="1" applyFill="1" applyBorder="1"/>
    <xf numFmtId="0" fontId="19" fillId="0" borderId="1" xfId="0" applyFont="1" applyBorder="1" applyAlignment="1">
      <alignment horizontal="left" vertical="center" wrapText="1"/>
    </xf>
    <xf numFmtId="49" fontId="16" fillId="0" borderId="1" xfId="0" applyNumberFormat="1" applyFont="1" applyBorder="1" applyAlignment="1">
      <alignment horizontal="left" vertical="center" wrapText="1"/>
    </xf>
    <xf numFmtId="0" fontId="16" fillId="0" borderId="1" xfId="0" applyFont="1" applyBorder="1" applyAlignment="1">
      <alignment horizontal="left" vertical="center" wrapText="1"/>
    </xf>
    <xf numFmtId="49" fontId="16" fillId="0" borderId="0" xfId="0" applyNumberFormat="1" applyFont="1" applyAlignment="1">
      <alignment horizontal="left" vertical="center"/>
    </xf>
    <xf numFmtId="49" fontId="9" fillId="0" borderId="4" xfId="0" applyNumberFormat="1" applyFont="1" applyBorder="1" applyAlignment="1">
      <alignment horizontal="left" vertical="center"/>
    </xf>
    <xf numFmtId="0" fontId="16" fillId="0" borderId="0" xfId="0" applyFont="1" applyAlignment="1">
      <alignment horizontal="left" vertical="center"/>
    </xf>
    <xf numFmtId="0" fontId="9" fillId="0" borderId="0" xfId="0" applyFont="1" applyAlignment="1">
      <alignment horizontal="left" vertical="center" wrapText="1"/>
    </xf>
    <xf numFmtId="0" fontId="5" fillId="9" borderId="0" xfId="0" applyFont="1" applyFill="1" applyAlignment="1">
      <alignment horizontal="left" vertical="center" wrapText="1"/>
    </xf>
    <xf numFmtId="0" fontId="11" fillId="10" borderId="4" xfId="0" applyFont="1" applyFill="1" applyBorder="1" applyProtection="1">
      <protection locked="0"/>
    </xf>
    <xf numFmtId="0" fontId="11" fillId="12" borderId="4" xfId="0" applyFont="1" applyFill="1" applyBorder="1" applyProtection="1">
      <protection locked="0"/>
    </xf>
    <xf numFmtId="49" fontId="11" fillId="10" borderId="4" xfId="0" applyNumberFormat="1" applyFont="1" applyFill="1" applyBorder="1" applyProtection="1">
      <protection locked="0"/>
    </xf>
    <xf numFmtId="49" fontId="11" fillId="10" borderId="4" xfId="0" quotePrefix="1" applyNumberFormat="1" applyFont="1" applyFill="1" applyBorder="1" applyProtection="1">
      <protection locked="0"/>
    </xf>
    <xf numFmtId="0" fontId="11" fillId="12" borderId="4" xfId="0" applyFont="1" applyFill="1" applyBorder="1" applyAlignment="1" applyProtection="1">
      <alignment wrapText="1"/>
      <protection locked="0"/>
    </xf>
    <xf numFmtId="49" fontId="11" fillId="10" borderId="4" xfId="0" quotePrefix="1" applyNumberFormat="1" applyFont="1" applyFill="1" applyBorder="1" applyAlignment="1" applyProtection="1">
      <alignment vertical="top"/>
      <protection locked="0"/>
    </xf>
    <xf numFmtId="14" fontId="11" fillId="12" borderId="4" xfId="0" applyNumberFormat="1" applyFont="1" applyFill="1" applyBorder="1" applyProtection="1">
      <protection locked="0"/>
    </xf>
    <xf numFmtId="0" fontId="11" fillId="0" borderId="0" xfId="0" applyFont="1" applyProtection="1">
      <protection locked="0"/>
    </xf>
    <xf numFmtId="0" fontId="11" fillId="7" borderId="0" xfId="0" applyFont="1" applyFill="1" applyProtection="1">
      <protection locked="0"/>
    </xf>
    <xf numFmtId="0" fontId="11" fillId="7" borderId="4" xfId="0" applyFont="1" applyFill="1" applyBorder="1"/>
    <xf numFmtId="0" fontId="11" fillId="7" borderId="11" xfId="0" applyFont="1" applyFill="1" applyBorder="1"/>
    <xf numFmtId="0" fontId="11" fillId="7" borderId="10" xfId="0" applyFont="1" applyFill="1" applyBorder="1"/>
    <xf numFmtId="0" fontId="11" fillId="7" borderId="4" xfId="0" applyFont="1" applyFill="1" applyBorder="1" applyAlignment="1">
      <alignment wrapText="1"/>
    </xf>
    <xf numFmtId="0" fontId="11" fillId="12" borderId="0" xfId="0" applyFont="1" applyFill="1"/>
    <xf numFmtId="0" fontId="11" fillId="10" borderId="0" xfId="0" applyFont="1" applyFill="1"/>
    <xf numFmtId="0" fontId="27" fillId="0" borderId="1" xfId="0" applyFont="1" applyBorder="1" applyAlignment="1">
      <alignment horizontal="left" vertical="center" wrapText="1"/>
    </xf>
    <xf numFmtId="0" fontId="25" fillId="0" borderId="1" xfId="0" applyFont="1" applyBorder="1" applyAlignment="1">
      <alignment horizontal="left" vertical="center" wrapText="1"/>
    </xf>
    <xf numFmtId="0" fontId="16" fillId="0" borderId="0" xfId="0" applyFont="1" applyAlignment="1">
      <alignment vertical="center"/>
    </xf>
    <xf numFmtId="0" fontId="11" fillId="12" borderId="0" xfId="0" applyFont="1" applyFill="1" applyProtection="1">
      <protection locked="0"/>
    </xf>
    <xf numFmtId="0" fontId="2" fillId="0" borderId="5" xfId="0" applyFont="1" applyBorder="1" applyAlignment="1">
      <alignment vertical="center"/>
    </xf>
    <xf numFmtId="0" fontId="2" fillId="0" borderId="6" xfId="0" applyFont="1" applyBorder="1" applyAlignment="1">
      <alignment vertical="center"/>
    </xf>
    <xf numFmtId="0" fontId="30" fillId="0" borderId="0" xfId="0" applyFont="1"/>
    <xf numFmtId="0" fontId="11" fillId="10" borderId="4" xfId="0" applyFont="1" applyFill="1" applyBorder="1" applyAlignment="1" applyProtection="1">
      <alignment horizontal="left"/>
      <protection locked="0"/>
    </xf>
    <xf numFmtId="4" fontId="11" fillId="10" borderId="4" xfId="0" applyNumberFormat="1" applyFont="1" applyFill="1" applyBorder="1" applyAlignment="1" applyProtection="1">
      <alignment horizontal="left"/>
      <protection locked="0"/>
    </xf>
    <xf numFmtId="14" fontId="16" fillId="0" borderId="0" xfId="0" applyNumberFormat="1" applyFont="1" applyAlignment="1">
      <alignment horizontal="left" vertical="center"/>
    </xf>
    <xf numFmtId="14" fontId="2" fillId="0" borderId="4" xfId="0" applyNumberFormat="1" applyFont="1" applyBorder="1" applyAlignment="1">
      <alignment horizontal="left" vertical="center"/>
    </xf>
    <xf numFmtId="0" fontId="31" fillId="0" borderId="0" xfId="0" applyFont="1"/>
    <xf numFmtId="14" fontId="19" fillId="2" borderId="11" xfId="0" applyNumberFormat="1" applyFont="1" applyFill="1" applyBorder="1" applyProtection="1">
      <protection locked="0"/>
    </xf>
    <xf numFmtId="0" fontId="14" fillId="0" borderId="0" xfId="0" applyFont="1" applyAlignment="1">
      <alignment vertical="center"/>
    </xf>
    <xf numFmtId="0" fontId="32" fillId="0" borderId="0" xfId="0" applyFont="1"/>
    <xf numFmtId="14" fontId="11" fillId="10" borderId="4" xfId="0" quotePrefix="1" applyNumberFormat="1" applyFont="1" applyFill="1" applyBorder="1" applyProtection="1">
      <protection locked="0"/>
    </xf>
    <xf numFmtId="0" fontId="11" fillId="10" borderId="4" xfId="0" applyFont="1" applyFill="1" applyBorder="1" applyAlignment="1" applyProtection="1">
      <alignment wrapText="1"/>
      <protection locked="0"/>
    </xf>
    <xf numFmtId="0" fontId="0" fillId="2" borderId="0" xfId="0" applyFill="1"/>
    <xf numFmtId="0" fontId="1" fillId="0" borderId="0" xfId="1"/>
    <xf numFmtId="0" fontId="5" fillId="0" borderId="0" xfId="0" applyFont="1" applyAlignment="1">
      <alignment horizontal="left" vertical="center" wrapText="1"/>
    </xf>
    <xf numFmtId="0" fontId="9" fillId="0" borderId="1" xfId="0" applyFont="1" applyBorder="1" applyAlignment="1">
      <alignment horizontal="left" vertical="center" wrapText="1"/>
    </xf>
    <xf numFmtId="0" fontId="16" fillId="0" borderId="0" xfId="0" applyFont="1" applyAlignment="1">
      <alignment horizontal="center" vertical="center"/>
    </xf>
    <xf numFmtId="0" fontId="24" fillId="0" borderId="3" xfId="0" applyFont="1" applyBorder="1" applyAlignment="1">
      <alignment horizontal="center" vertical="center"/>
    </xf>
    <xf numFmtId="0" fontId="9" fillId="0" borderId="0" xfId="0" applyFont="1" applyAlignment="1">
      <alignment horizontal="left" vertical="center" wrapText="1"/>
    </xf>
    <xf numFmtId="0" fontId="9" fillId="0" borderId="0" xfId="0" applyFont="1" applyAlignment="1">
      <alignment horizontal="left" vertical="center"/>
    </xf>
    <xf numFmtId="0" fontId="9" fillId="0" borderId="3" xfId="0" applyFont="1" applyBorder="1" applyAlignment="1">
      <alignment horizontal="left" vertical="center"/>
    </xf>
    <xf numFmtId="0" fontId="26" fillId="0" borderId="2" xfId="0" applyFont="1" applyBorder="1" applyAlignment="1">
      <alignment horizontal="left" vertical="center" wrapText="1"/>
    </xf>
    <xf numFmtId="0" fontId="26" fillId="0" borderId="2" xfId="0" applyFont="1" applyBorder="1" applyAlignment="1">
      <alignment horizontal="left" vertical="center"/>
    </xf>
    <xf numFmtId="0" fontId="9" fillId="0" borderId="2" xfId="0" applyFont="1" applyBorder="1" applyAlignment="1">
      <alignment horizontal="left" vertical="center" wrapText="1"/>
    </xf>
    <xf numFmtId="0" fontId="9" fillId="0" borderId="3" xfId="0" applyFont="1" applyBorder="1" applyAlignment="1">
      <alignment horizontal="left" vertical="center" wrapText="1"/>
    </xf>
    <xf numFmtId="49" fontId="24" fillId="0" borderId="2" xfId="0" applyNumberFormat="1" applyFont="1" applyBorder="1" applyAlignment="1">
      <alignment horizontal="left" vertical="center"/>
    </xf>
    <xf numFmtId="49" fontId="24" fillId="0" borderId="2" xfId="0" quotePrefix="1" applyNumberFormat="1" applyFont="1" applyBorder="1" applyAlignment="1">
      <alignment horizontal="left" vertical="center"/>
    </xf>
    <xf numFmtId="0" fontId="8" fillId="0" borderId="2" xfId="0" applyFont="1" applyBorder="1" applyAlignment="1">
      <alignment horizontal="left" vertical="center" wrapText="1"/>
    </xf>
    <xf numFmtId="49" fontId="25" fillId="0" borderId="1" xfId="0" applyNumberFormat="1" applyFont="1" applyBorder="1" applyAlignment="1">
      <alignment horizontal="left" vertical="center" wrapText="1"/>
    </xf>
    <xf numFmtId="0" fontId="27" fillId="0" borderId="1" xfId="0" applyFont="1" applyBorder="1" applyAlignment="1">
      <alignment horizontal="left" vertical="center" wrapText="1"/>
    </xf>
    <xf numFmtId="49" fontId="27" fillId="0" borderId="1" xfId="0" quotePrefix="1" applyNumberFormat="1" applyFont="1" applyBorder="1" applyAlignment="1">
      <alignment horizontal="left" vertical="center"/>
    </xf>
    <xf numFmtId="49" fontId="16" fillId="0" borderId="2" xfId="0" applyNumberFormat="1" applyFont="1" applyBorder="1" applyAlignment="1">
      <alignment horizontal="center" vertical="center" wrapText="1"/>
    </xf>
    <xf numFmtId="49" fontId="16" fillId="0" borderId="1" xfId="0" applyNumberFormat="1" applyFont="1" applyBorder="1" applyAlignment="1">
      <alignment horizontal="left" vertical="center" wrapText="1"/>
    </xf>
    <xf numFmtId="0" fontId="16" fillId="0" borderId="0" xfId="0" applyFont="1" applyAlignment="1">
      <alignment vertical="center"/>
    </xf>
    <xf numFmtId="49" fontId="27" fillId="0" borderId="3" xfId="0" applyNumberFormat="1" applyFont="1" applyBorder="1" applyAlignment="1">
      <alignment horizontal="left" vertical="center" wrapText="1"/>
    </xf>
    <xf numFmtId="0" fontId="27" fillId="0" borderId="0" xfId="0" applyFont="1" applyAlignment="1">
      <alignment horizontal="left" vertical="center" wrapText="1"/>
    </xf>
    <xf numFmtId="0" fontId="7" fillId="0" borderId="0" xfId="0" applyFont="1" applyAlignment="1">
      <alignment horizontal="left" vertical="center" wrapText="1"/>
    </xf>
    <xf numFmtId="0" fontId="25" fillId="0" borderId="0" xfId="0" applyFont="1" applyAlignment="1">
      <alignment horizontal="left" vertical="center"/>
    </xf>
    <xf numFmtId="0" fontId="16" fillId="0" borderId="0" xfId="0" applyFont="1" applyAlignment="1">
      <alignment horizontal="left" vertical="center"/>
    </xf>
    <xf numFmtId="0" fontId="10" fillId="8" borderId="0" xfId="0" applyFont="1" applyFill="1" applyAlignment="1">
      <alignment horizontal="left" vertical="center"/>
    </xf>
    <xf numFmtId="0" fontId="4" fillId="0" borderId="0" xfId="0" applyFont="1" applyAlignment="1">
      <alignment horizontal="left" vertical="center" wrapText="1"/>
    </xf>
    <xf numFmtId="0" fontId="6" fillId="0" borderId="0" xfId="0" applyFont="1" applyAlignment="1">
      <alignment horizontal="left" vertical="center" wrapText="1"/>
    </xf>
    <xf numFmtId="0" fontId="3" fillId="2" borderId="0" xfId="0" applyFont="1" applyFill="1" applyAlignment="1">
      <alignment horizontal="left" vertical="center"/>
    </xf>
    <xf numFmtId="0" fontId="4" fillId="0" borderId="5" xfId="0" applyFont="1" applyBorder="1" applyAlignment="1">
      <alignment horizontal="left" vertical="center"/>
    </xf>
    <xf numFmtId="0" fontId="4" fillId="0" borderId="6" xfId="0" applyFont="1" applyBorder="1" applyAlignment="1">
      <alignment horizontal="left" vertical="center"/>
    </xf>
    <xf numFmtId="0" fontId="2" fillId="0" borderId="5" xfId="0" applyFont="1" applyBorder="1" applyAlignment="1">
      <alignment horizontal="left" vertical="center"/>
    </xf>
    <xf numFmtId="0" fontId="2" fillId="0" borderId="6" xfId="0" applyFont="1" applyBorder="1" applyAlignment="1">
      <alignment horizontal="left" vertical="center"/>
    </xf>
    <xf numFmtId="0" fontId="25" fillId="0" borderId="1" xfId="0" applyFont="1" applyBorder="1" applyAlignment="1">
      <alignment horizontal="left" vertical="center"/>
    </xf>
    <xf numFmtId="0" fontId="24" fillId="0" borderId="0" xfId="0" applyFont="1" applyAlignment="1">
      <alignment horizontal="left" vertical="center"/>
    </xf>
    <xf numFmtId="0" fontId="25" fillId="0" borderId="3" xfId="0" applyFont="1" applyBorder="1" applyAlignment="1">
      <alignment horizontal="left" vertical="center"/>
    </xf>
    <xf numFmtId="0" fontId="15" fillId="0" borderId="0" xfId="0" applyFont="1" applyAlignment="1">
      <alignment horizontal="center" vertical="center"/>
    </xf>
    <xf numFmtId="0" fontId="16" fillId="0" borderId="1" xfId="0" applyFont="1" applyBorder="1" applyAlignment="1">
      <alignment horizontal="center" vertical="center"/>
    </xf>
    <xf numFmtId="0" fontId="14" fillId="0" borderId="3" xfId="0" applyFont="1" applyBorder="1" applyAlignment="1">
      <alignment horizontal="center" vertical="center"/>
    </xf>
    <xf numFmtId="0" fontId="17" fillId="0" borderId="1" xfId="0" applyFont="1" applyBorder="1" applyAlignment="1">
      <alignment horizontal="center" vertical="center"/>
    </xf>
    <xf numFmtId="49" fontId="15" fillId="0" borderId="2" xfId="0" applyNumberFormat="1" applyFont="1" applyBorder="1" applyAlignment="1">
      <alignment horizontal="center" vertical="center"/>
    </xf>
    <xf numFmtId="0" fontId="15" fillId="0" borderId="2" xfId="0" applyFont="1" applyBorder="1" applyAlignment="1">
      <alignment horizontal="center" vertical="center"/>
    </xf>
    <xf numFmtId="49" fontId="14" fillId="0" borderId="2" xfId="0" quotePrefix="1" applyNumberFormat="1" applyFont="1" applyBorder="1" applyAlignment="1">
      <alignment horizontal="center" vertical="center"/>
    </xf>
    <xf numFmtId="0" fontId="14" fillId="0" borderId="2" xfId="0" quotePrefix="1" applyFont="1" applyBorder="1" applyAlignment="1">
      <alignment horizontal="center" vertical="center"/>
    </xf>
    <xf numFmtId="0" fontId="20" fillId="0" borderId="2" xfId="0" applyFont="1" applyBorder="1" applyAlignment="1">
      <alignment horizontal="center" vertical="center"/>
    </xf>
    <xf numFmtId="0" fontId="20" fillId="0" borderId="2" xfId="0" applyFont="1" applyBorder="1" applyAlignment="1">
      <alignment horizontal="center" vertical="center" wrapText="1"/>
    </xf>
    <xf numFmtId="0" fontId="12" fillId="0" borderId="2" xfId="0" applyFont="1" applyBorder="1" applyAlignment="1">
      <alignment horizontal="left" vertical="center" wrapText="1"/>
    </xf>
    <xf numFmtId="0" fontId="16" fillId="0" borderId="2" xfId="0" applyFont="1" applyBorder="1" applyAlignment="1">
      <alignment horizontal="center" vertical="center" wrapText="1"/>
    </xf>
    <xf numFmtId="0" fontId="18" fillId="0" borderId="1" xfId="0" applyFont="1" applyBorder="1" applyAlignment="1">
      <alignment horizontal="center" vertical="center" wrapText="1"/>
    </xf>
    <xf numFmtId="49" fontId="21" fillId="0" borderId="1" xfId="0" quotePrefix="1" applyNumberFormat="1" applyFont="1" applyBorder="1" applyAlignment="1">
      <alignment horizontal="center" vertical="center"/>
    </xf>
    <xf numFmtId="0" fontId="21" fillId="0" borderId="1" xfId="0" quotePrefix="1" applyFont="1" applyBorder="1" applyAlignment="1">
      <alignment horizontal="center" vertical="center"/>
    </xf>
    <xf numFmtId="0" fontId="16" fillId="0" borderId="1" xfId="0" applyFont="1" applyBorder="1" applyAlignment="1">
      <alignment horizontal="center" vertical="center" wrapText="1"/>
    </xf>
    <xf numFmtId="14" fontId="16" fillId="0" borderId="1" xfId="0" applyNumberFormat="1" applyFont="1" applyBorder="1" applyAlignment="1">
      <alignment horizontal="center" vertical="center" wrapText="1"/>
    </xf>
    <xf numFmtId="0" fontId="19" fillId="0" borderId="3" xfId="0" applyFont="1" applyBorder="1" applyAlignment="1">
      <alignment horizontal="center" vertical="center" wrapText="1"/>
    </xf>
    <xf numFmtId="0" fontId="19" fillId="0" borderId="0" xfId="0" applyFont="1" applyAlignment="1">
      <alignment horizontal="center" vertical="center" wrapText="1"/>
    </xf>
    <xf numFmtId="0" fontId="19" fillId="0" borderId="1" xfId="0" applyFont="1" applyBorder="1" applyAlignment="1">
      <alignment horizontal="center" vertical="center" wrapText="1"/>
    </xf>
    <xf numFmtId="0" fontId="23" fillId="11" borderId="0" xfId="0" applyFont="1" applyFill="1" applyAlignment="1">
      <alignment horizontal="left" vertical="center" textRotation="90"/>
    </xf>
    <xf numFmtId="0" fontId="22" fillId="11" borderId="0" xfId="0" applyFont="1" applyFill="1" applyAlignment="1">
      <alignment horizontal="left" vertical="center" textRotation="90"/>
    </xf>
    <xf numFmtId="0" fontId="28" fillId="2" borderId="0" xfId="0" applyFont="1" applyFill="1" applyAlignment="1" applyProtection="1">
      <alignment horizontal="center" textRotation="90"/>
      <protection locked="0"/>
    </xf>
    <xf numFmtId="0" fontId="0" fillId="0" borderId="4" xfId="0" applyBorder="1" applyAlignment="1">
      <alignment horizontal="center"/>
    </xf>
    <xf numFmtId="49" fontId="0" fillId="0" borderId="4" xfId="0" applyNumberFormat="1" applyBorder="1" applyAlignment="1">
      <alignment horizontal="center"/>
    </xf>
    <xf numFmtId="0" fontId="0" fillId="0" borderId="5" xfId="0" applyBorder="1" applyAlignment="1">
      <alignment horizontal="center"/>
    </xf>
    <xf numFmtId="0" fontId="0" fillId="0" borderId="12" xfId="0" applyBorder="1" applyAlignment="1">
      <alignment horizontal="center"/>
    </xf>
    <xf numFmtId="0" fontId="0" fillId="0" borderId="6" xfId="0" applyBorder="1" applyAlignment="1">
      <alignment horizontal="center"/>
    </xf>
    <xf numFmtId="14" fontId="0" fillId="0" borderId="4" xfId="0" applyNumberFormat="1" applyBorder="1" applyAlignment="1">
      <alignment horizontal="center"/>
    </xf>
    <xf numFmtId="0" fontId="33" fillId="0" borderId="5" xfId="0" applyFont="1" applyBorder="1" applyAlignment="1">
      <alignment horizontal="center"/>
    </xf>
    <xf numFmtId="0" fontId="33" fillId="0" borderId="12" xfId="0" applyFont="1" applyBorder="1" applyAlignment="1">
      <alignment horizontal="center"/>
    </xf>
    <xf numFmtId="0" fontId="33" fillId="0" borderId="6" xfId="0" applyFont="1" applyBorder="1" applyAlignment="1">
      <alignment horizontal="center"/>
    </xf>
    <xf numFmtId="0" fontId="0" fillId="13" borderId="4" xfId="0" applyFill="1" applyBorder="1" applyAlignment="1">
      <alignment horizontal="center"/>
    </xf>
    <xf numFmtId="0" fontId="34" fillId="0" borderId="0" xfId="1" applyFont="1" applyAlignment="1">
      <alignment horizontal="center" vertical="center" wrapText="1"/>
    </xf>
    <xf numFmtId="0" fontId="35" fillId="0" borderId="0" xfId="1" applyFont="1" applyAlignment="1">
      <alignment horizontal="center" vertical="center"/>
    </xf>
    <xf numFmtId="0" fontId="5" fillId="0" borderId="0" xfId="1" applyFont="1" applyAlignment="1">
      <alignment horizontal="center" vertical="center"/>
    </xf>
    <xf numFmtId="0" fontId="5" fillId="0" borderId="5" xfId="1" applyFont="1" applyBorder="1" applyAlignment="1">
      <alignment horizontal="center" vertical="center"/>
    </xf>
    <xf numFmtId="0" fontId="5" fillId="0" borderId="12" xfId="1" applyFont="1" applyBorder="1" applyAlignment="1">
      <alignment horizontal="center" vertical="center"/>
    </xf>
    <xf numFmtId="0" fontId="5" fillId="0" borderId="6" xfId="1" applyFont="1" applyBorder="1" applyAlignment="1">
      <alignment horizontal="center" vertical="center"/>
    </xf>
    <xf numFmtId="0" fontId="5" fillId="0" borderId="13" xfId="1" applyFont="1" applyBorder="1" applyAlignment="1">
      <alignment horizontal="center" vertical="center"/>
    </xf>
    <xf numFmtId="0" fontId="5" fillId="0" borderId="14" xfId="1" applyFont="1" applyBorder="1" applyAlignment="1">
      <alignment horizontal="center" vertical="center"/>
    </xf>
    <xf numFmtId="0" fontId="5" fillId="0" borderId="15" xfId="1" applyFont="1" applyBorder="1" applyAlignment="1">
      <alignment horizontal="center" vertical="center"/>
    </xf>
    <xf numFmtId="0" fontId="36" fillId="0" borderId="13" xfId="1" applyFont="1" applyBorder="1" applyAlignment="1">
      <alignment horizontal="center" vertical="center"/>
    </xf>
    <xf numFmtId="0" fontId="36" fillId="0" borderId="14" xfId="1" applyFont="1" applyBorder="1" applyAlignment="1">
      <alignment horizontal="center" vertical="center"/>
    </xf>
    <xf numFmtId="0" fontId="36" fillId="0" borderId="15" xfId="1" applyFont="1" applyBorder="1" applyAlignment="1">
      <alignment horizontal="center" vertical="center"/>
    </xf>
    <xf numFmtId="0" fontId="36" fillId="0" borderId="16" xfId="1" applyFont="1" applyBorder="1" applyAlignment="1">
      <alignment horizontal="center" vertical="center"/>
    </xf>
    <xf numFmtId="0" fontId="36" fillId="0" borderId="17" xfId="1" applyFont="1" applyBorder="1" applyAlignment="1">
      <alignment horizontal="center" vertical="center"/>
    </xf>
    <xf numFmtId="0" fontId="36" fillId="0" borderId="18" xfId="1" applyFont="1" applyBorder="1" applyAlignment="1">
      <alignment horizontal="center" vertical="center"/>
    </xf>
    <xf numFmtId="0" fontId="5" fillId="0" borderId="16" xfId="1" applyFont="1" applyBorder="1" applyAlignment="1">
      <alignment horizontal="center" vertical="center"/>
    </xf>
    <xf numFmtId="0" fontId="5" fillId="0" borderId="17" xfId="1" applyFont="1" applyBorder="1" applyAlignment="1">
      <alignment horizontal="center" vertical="center"/>
    </xf>
    <xf numFmtId="0" fontId="5" fillId="0" borderId="18" xfId="1" applyFont="1" applyBorder="1" applyAlignment="1">
      <alignment horizontal="center" vertical="center"/>
    </xf>
    <xf numFmtId="0" fontId="36" fillId="0" borderId="4" xfId="1" applyFont="1" applyBorder="1" applyAlignment="1">
      <alignment horizontal="center" vertical="center"/>
    </xf>
    <xf numFmtId="0" fontId="7" fillId="0" borderId="5" xfId="1" applyFont="1" applyBorder="1" applyAlignment="1">
      <alignment horizontal="center" vertical="center"/>
    </xf>
    <xf numFmtId="0" fontId="7" fillId="0" borderId="12" xfId="1" applyFont="1" applyBorder="1" applyAlignment="1">
      <alignment horizontal="center" vertical="center"/>
    </xf>
    <xf numFmtId="0" fontId="7" fillId="0" borderId="6" xfId="1" applyFont="1" applyBorder="1" applyAlignment="1">
      <alignment horizontal="center" vertical="center"/>
    </xf>
    <xf numFmtId="49" fontId="36" fillId="0" borderId="14" xfId="1" applyNumberFormat="1" applyFont="1" applyBorder="1" applyAlignment="1">
      <alignment horizontal="center" vertical="center"/>
    </xf>
    <xf numFmtId="0" fontId="5" fillId="0" borderId="13" xfId="1" applyFont="1" applyBorder="1" applyAlignment="1">
      <alignment horizontal="center" vertical="center" wrapText="1"/>
    </xf>
    <xf numFmtId="0" fontId="5" fillId="0" borderId="14" xfId="1" applyFont="1" applyBorder="1" applyAlignment="1">
      <alignment horizontal="center" vertical="center" wrapText="1"/>
    </xf>
    <xf numFmtId="0" fontId="5" fillId="0" borderId="15" xfId="1" applyFont="1" applyBorder="1" applyAlignment="1">
      <alignment horizontal="center" vertical="center" wrapText="1"/>
    </xf>
    <xf numFmtId="0" fontId="36" fillId="0" borderId="14" xfId="1" applyFont="1" applyBorder="1" applyAlignment="1">
      <alignment horizontal="center" vertical="center" wrapText="1"/>
    </xf>
    <xf numFmtId="0" fontId="36" fillId="0" borderId="15" xfId="1" applyFont="1" applyBorder="1" applyAlignment="1">
      <alignment horizontal="center" vertical="center" wrapText="1"/>
    </xf>
    <xf numFmtId="0" fontId="36" fillId="0" borderId="17" xfId="1" applyFont="1" applyBorder="1" applyAlignment="1">
      <alignment horizontal="center" vertical="center" wrapText="1"/>
    </xf>
    <xf numFmtId="0" fontId="36" fillId="0" borderId="18" xfId="1" applyFont="1" applyBorder="1" applyAlignment="1">
      <alignment horizontal="center" vertical="center" wrapText="1"/>
    </xf>
    <xf numFmtId="0" fontId="5" fillId="0" borderId="16" xfId="1" applyFont="1" applyBorder="1" applyAlignment="1">
      <alignment horizontal="center" vertical="center" wrapText="1"/>
    </xf>
    <xf numFmtId="0" fontId="5" fillId="0" borderId="17" xfId="1" applyFont="1" applyBorder="1" applyAlignment="1">
      <alignment horizontal="center" vertical="center" wrapText="1"/>
    </xf>
    <xf numFmtId="0" fontId="5" fillId="0" borderId="18" xfId="1" applyFont="1" applyBorder="1" applyAlignment="1">
      <alignment horizontal="center" vertical="center" wrapText="1"/>
    </xf>
    <xf numFmtId="0" fontId="36" fillId="0" borderId="19" xfId="1" applyFont="1" applyBorder="1" applyAlignment="1">
      <alignment horizontal="center" vertical="center"/>
    </xf>
    <xf numFmtId="0" fontId="36" fillId="0" borderId="20" xfId="1" applyFont="1" applyBorder="1" applyAlignment="1">
      <alignment horizontal="center" vertical="center"/>
    </xf>
    <xf numFmtId="49" fontId="36" fillId="0" borderId="13" xfId="1" applyNumberFormat="1" applyFont="1" applyBorder="1" applyAlignment="1">
      <alignment horizontal="center" vertical="center"/>
    </xf>
    <xf numFmtId="0" fontId="36" fillId="0" borderId="0" xfId="1" applyFont="1" applyAlignment="1">
      <alignment horizontal="center" vertical="center"/>
    </xf>
    <xf numFmtId="0" fontId="5" fillId="0" borderId="19" xfId="1" applyFont="1" applyBorder="1" applyAlignment="1">
      <alignment horizontal="center" vertical="center"/>
    </xf>
    <xf numFmtId="0" fontId="5" fillId="0" borderId="20" xfId="1" applyFont="1" applyBorder="1" applyAlignment="1">
      <alignment horizontal="center" vertical="center"/>
    </xf>
    <xf numFmtId="0" fontId="1" fillId="0" borderId="13" xfId="1" applyBorder="1" applyAlignment="1">
      <alignment horizontal="center" vertical="center"/>
    </xf>
    <xf numFmtId="0" fontId="1" fillId="0" borderId="15" xfId="1" applyBorder="1" applyAlignment="1">
      <alignment horizontal="center" vertical="center"/>
    </xf>
    <xf numFmtId="0" fontId="1" fillId="0" borderId="19" xfId="1" applyBorder="1" applyAlignment="1">
      <alignment horizontal="center" vertical="center"/>
    </xf>
    <xf numFmtId="0" fontId="1" fillId="0" borderId="20" xfId="1" applyBorder="1" applyAlignment="1">
      <alignment horizontal="center" vertical="center"/>
    </xf>
    <xf numFmtId="0" fontId="1" fillId="0" borderId="16" xfId="1" applyBorder="1" applyAlignment="1">
      <alignment horizontal="center" vertical="center"/>
    </xf>
    <xf numFmtId="0" fontId="1" fillId="0" borderId="18" xfId="1" applyBorder="1" applyAlignment="1">
      <alignment horizontal="center" vertical="center"/>
    </xf>
    <xf numFmtId="0" fontId="36" fillId="0" borderId="13" xfId="1" applyFont="1" applyBorder="1" applyAlignment="1">
      <alignment horizontal="center" vertical="center" wrapText="1"/>
    </xf>
    <xf numFmtId="0" fontId="36" fillId="0" borderId="5" xfId="1" applyFont="1" applyBorder="1" applyAlignment="1">
      <alignment horizontal="center" vertical="center"/>
    </xf>
    <xf numFmtId="0" fontId="36" fillId="0" borderId="12" xfId="1" applyFont="1" applyBorder="1" applyAlignment="1">
      <alignment horizontal="center" vertical="center"/>
    </xf>
    <xf numFmtId="0" fontId="36" fillId="0" borderId="6" xfId="1" applyFont="1" applyBorder="1" applyAlignment="1">
      <alignment horizontal="center" vertical="center"/>
    </xf>
    <xf numFmtId="0" fontId="9" fillId="0" borderId="13" xfId="1" applyFont="1" applyBorder="1" applyAlignment="1">
      <alignment horizontal="center" vertical="center"/>
    </xf>
    <xf numFmtId="0" fontId="9" fillId="0" borderId="16" xfId="1" applyFont="1" applyBorder="1" applyAlignment="1">
      <alignment horizontal="center" vertical="center"/>
    </xf>
    <xf numFmtId="0" fontId="16" fillId="0" borderId="13" xfId="1" applyFont="1" applyBorder="1" applyAlignment="1">
      <alignment horizontal="center" vertical="center"/>
    </xf>
    <xf numFmtId="0" fontId="16" fillId="0" borderId="16" xfId="1" applyFont="1" applyBorder="1" applyAlignment="1">
      <alignment horizontal="center" vertical="center"/>
    </xf>
    <xf numFmtId="0" fontId="1" fillId="0" borderId="14" xfId="1" applyBorder="1" applyAlignment="1">
      <alignment horizontal="center" vertical="center"/>
    </xf>
    <xf numFmtId="0" fontId="1" fillId="0" borderId="0" xfId="1" applyAlignment="1">
      <alignment horizontal="center" vertical="center"/>
    </xf>
    <xf numFmtId="0" fontId="1" fillId="0" borderId="17" xfId="1" applyBorder="1" applyAlignment="1">
      <alignment horizontal="center" vertical="center"/>
    </xf>
  </cellXfs>
  <cellStyles count="2">
    <cellStyle name="Normal" xfId="0" builtinId="0"/>
    <cellStyle name="Normal 2" xfId="1" xr:uid="{B4F59F19-ED3C-4902-BC41-01EE21B7F633}"/>
  </cellStyles>
  <dxfs count="0"/>
  <tableStyles count="0" defaultTableStyle="TableStyleMedium2" defaultPivotStyle="PivotStyleLight16"/>
  <colors>
    <mruColors>
      <color rgb="FFF3B9E2"/>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2" Type="http://schemas.openxmlformats.org/officeDocument/2006/relationships/image" Target="../media/image4.png"/><Relationship Id="rId1" Type="http://schemas.openxmlformats.org/officeDocument/2006/relationships/image" Target="../media/image3.png"/></Relationships>
</file>

<file path=xl/drawings/_rels/drawing5.xml.rels><?xml version="1.0" encoding="UTF-8" standalone="yes"?>
<Relationships xmlns="http://schemas.openxmlformats.org/package/2006/relationships"><Relationship Id="rId2" Type="http://schemas.openxmlformats.org/officeDocument/2006/relationships/image" Target="../media/image4.png"/><Relationship Id="rId1" Type="http://schemas.openxmlformats.org/officeDocument/2006/relationships/image" Target="../media/image3.png"/></Relationships>
</file>

<file path=xl/drawings/drawing1.xml><?xml version="1.0" encoding="utf-8"?>
<xdr:wsDr xmlns:xdr="http://schemas.openxmlformats.org/drawingml/2006/spreadsheetDrawing" xmlns:a="http://schemas.openxmlformats.org/drawingml/2006/main">
  <xdr:twoCellAnchor editAs="oneCell">
    <xdr:from>
      <xdr:col>0</xdr:col>
      <xdr:colOff>9525</xdr:colOff>
      <xdr:row>0</xdr:row>
      <xdr:rowOff>0</xdr:rowOff>
    </xdr:from>
    <xdr:to>
      <xdr:col>14</xdr:col>
      <xdr:colOff>0</xdr:colOff>
      <xdr:row>5</xdr:row>
      <xdr:rowOff>0</xdr:rowOff>
    </xdr:to>
    <xdr:pic>
      <xdr:nvPicPr>
        <xdr:cNvPr id="2" name="Picture 1">
          <a:extLst>
            <a:ext uri="{FF2B5EF4-FFF2-40B4-BE49-F238E27FC236}">
              <a16:creationId xmlns:a16="http://schemas.microsoft.com/office/drawing/2014/main" id="{00000000-0008-0000-0000-000002000000}"/>
            </a:ext>
          </a:extLst>
        </xdr:cNvPr>
        <xdr:cNvPicPr>
          <a:picLocks noChangeAspect="1"/>
        </xdr:cNvPicPr>
      </xdr:nvPicPr>
      <xdr:blipFill rotWithShape="1">
        <a:blip xmlns:r="http://schemas.openxmlformats.org/officeDocument/2006/relationships" r:embed="rId1"/>
        <a:srcRect l="491" r="495" b="16286"/>
        <a:stretch/>
      </xdr:blipFill>
      <xdr:spPr>
        <a:xfrm>
          <a:off x="9525" y="0"/>
          <a:ext cx="9134475" cy="894184"/>
        </a:xfrm>
        <a:prstGeom prst="rect">
          <a:avLst/>
        </a:prstGeom>
      </xdr:spPr>
    </xdr:pic>
    <xdr:clientData/>
  </xdr:twoCellAnchor>
  <xdr:twoCellAnchor editAs="oneCell">
    <xdr:from>
      <xdr:col>0</xdr:col>
      <xdr:colOff>0</xdr:colOff>
      <xdr:row>45</xdr:row>
      <xdr:rowOff>19050</xdr:rowOff>
    </xdr:from>
    <xdr:to>
      <xdr:col>14</xdr:col>
      <xdr:colOff>123824</xdr:colOff>
      <xdr:row>50</xdr:row>
      <xdr:rowOff>0</xdr:rowOff>
    </xdr:to>
    <xdr:pic>
      <xdr:nvPicPr>
        <xdr:cNvPr id="4" name="Picture 3">
          <a:extLst>
            <a:ext uri="{FF2B5EF4-FFF2-40B4-BE49-F238E27FC236}">
              <a16:creationId xmlns:a16="http://schemas.microsoft.com/office/drawing/2014/main" id="{00000000-0008-0000-0000-000004000000}"/>
            </a:ext>
          </a:extLst>
        </xdr:cNvPr>
        <xdr:cNvPicPr>
          <a:picLocks noChangeAspect="1"/>
        </xdr:cNvPicPr>
      </xdr:nvPicPr>
      <xdr:blipFill>
        <a:blip xmlns:r="http://schemas.openxmlformats.org/officeDocument/2006/relationships" r:embed="rId2"/>
        <a:stretch>
          <a:fillRect/>
        </a:stretch>
      </xdr:blipFill>
      <xdr:spPr>
        <a:xfrm>
          <a:off x="0" y="12553950"/>
          <a:ext cx="9725024" cy="78105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9525</xdr:colOff>
      <xdr:row>0</xdr:row>
      <xdr:rowOff>0</xdr:rowOff>
    </xdr:from>
    <xdr:to>
      <xdr:col>12</xdr:col>
      <xdr:colOff>733425</xdr:colOff>
      <xdr:row>4</xdr:row>
      <xdr:rowOff>152401</xdr:rowOff>
    </xdr:to>
    <xdr:pic>
      <xdr:nvPicPr>
        <xdr:cNvPr id="2" name="Picture 1">
          <a:extLst>
            <a:ext uri="{FF2B5EF4-FFF2-40B4-BE49-F238E27FC236}">
              <a16:creationId xmlns:a16="http://schemas.microsoft.com/office/drawing/2014/main" id="{00000000-0008-0000-0200-000002000000}"/>
            </a:ext>
          </a:extLst>
        </xdr:cNvPr>
        <xdr:cNvPicPr>
          <a:picLocks noChangeAspect="1"/>
        </xdr:cNvPicPr>
      </xdr:nvPicPr>
      <xdr:blipFill rotWithShape="1">
        <a:blip xmlns:r="http://schemas.openxmlformats.org/officeDocument/2006/relationships" r:embed="rId1"/>
        <a:srcRect l="491" r="495" b="16286"/>
        <a:stretch/>
      </xdr:blipFill>
      <xdr:spPr>
        <a:xfrm>
          <a:off x="9525" y="0"/>
          <a:ext cx="9277350" cy="914401"/>
        </a:xfrm>
        <a:prstGeom prst="rect">
          <a:avLst/>
        </a:prstGeom>
      </xdr:spPr>
    </xdr:pic>
    <xdr:clientData/>
  </xdr:twoCellAnchor>
  <xdr:twoCellAnchor editAs="oneCell">
    <xdr:from>
      <xdr:col>0</xdr:col>
      <xdr:colOff>0</xdr:colOff>
      <xdr:row>45</xdr:row>
      <xdr:rowOff>19050</xdr:rowOff>
    </xdr:from>
    <xdr:to>
      <xdr:col>14</xdr:col>
      <xdr:colOff>28575</xdr:colOff>
      <xdr:row>49</xdr:row>
      <xdr:rowOff>180883</xdr:rowOff>
    </xdr:to>
    <xdr:pic>
      <xdr:nvPicPr>
        <xdr:cNvPr id="3" name="Picture 2">
          <a:extLst>
            <a:ext uri="{FF2B5EF4-FFF2-40B4-BE49-F238E27FC236}">
              <a16:creationId xmlns:a16="http://schemas.microsoft.com/office/drawing/2014/main" id="{00000000-0008-0000-0200-000003000000}"/>
            </a:ext>
          </a:extLst>
        </xdr:cNvPr>
        <xdr:cNvPicPr>
          <a:picLocks noChangeAspect="1"/>
        </xdr:cNvPicPr>
      </xdr:nvPicPr>
      <xdr:blipFill>
        <a:blip xmlns:r="http://schemas.openxmlformats.org/officeDocument/2006/relationships" r:embed="rId2"/>
        <a:stretch>
          <a:fillRect/>
        </a:stretch>
      </xdr:blipFill>
      <xdr:spPr>
        <a:xfrm>
          <a:off x="0" y="12163425"/>
          <a:ext cx="9324975" cy="771433"/>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xdr:from>
      <xdr:col>3</xdr:col>
      <xdr:colOff>609600</xdr:colOff>
      <xdr:row>6</xdr:row>
      <xdr:rowOff>9525</xdr:rowOff>
    </xdr:from>
    <xdr:to>
      <xdr:col>3</xdr:col>
      <xdr:colOff>1066800</xdr:colOff>
      <xdr:row>7</xdr:row>
      <xdr:rowOff>47625</xdr:rowOff>
    </xdr:to>
    <xdr:sp macro="" textlink="">
      <xdr:nvSpPr>
        <xdr:cNvPr id="2" name="Right Arrow 1">
          <a:extLst>
            <a:ext uri="{FF2B5EF4-FFF2-40B4-BE49-F238E27FC236}">
              <a16:creationId xmlns:a16="http://schemas.microsoft.com/office/drawing/2014/main" id="{00000000-0008-0000-0100-000002000000}"/>
            </a:ext>
          </a:extLst>
        </xdr:cNvPr>
        <xdr:cNvSpPr/>
      </xdr:nvSpPr>
      <xdr:spPr>
        <a:xfrm>
          <a:off x="6276975" y="1209675"/>
          <a:ext cx="457200" cy="238125"/>
        </a:xfrm>
        <a:prstGeom prst="rightArrow">
          <a:avLst/>
        </a:prstGeom>
        <a:solidFill>
          <a:srgbClr val="FFFF0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571500</xdr:colOff>
      <xdr:row>9</xdr:row>
      <xdr:rowOff>171450</xdr:rowOff>
    </xdr:from>
    <xdr:to>
      <xdr:col>3</xdr:col>
      <xdr:colOff>1028700</xdr:colOff>
      <xdr:row>11</xdr:row>
      <xdr:rowOff>9525</xdr:rowOff>
    </xdr:to>
    <xdr:sp macro="" textlink="">
      <xdr:nvSpPr>
        <xdr:cNvPr id="3" name="Right Arrow 2">
          <a:extLst>
            <a:ext uri="{FF2B5EF4-FFF2-40B4-BE49-F238E27FC236}">
              <a16:creationId xmlns:a16="http://schemas.microsoft.com/office/drawing/2014/main" id="{00000000-0008-0000-0100-000003000000}"/>
            </a:ext>
          </a:extLst>
        </xdr:cNvPr>
        <xdr:cNvSpPr/>
      </xdr:nvSpPr>
      <xdr:spPr>
        <a:xfrm>
          <a:off x="6238875" y="1971675"/>
          <a:ext cx="457200" cy="238125"/>
        </a:xfrm>
        <a:prstGeom prst="rightArrow">
          <a:avLst/>
        </a:prstGeom>
        <a:solidFill>
          <a:srgbClr val="FFFF0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571500</xdr:colOff>
      <xdr:row>15</xdr:row>
      <xdr:rowOff>0</xdr:rowOff>
    </xdr:from>
    <xdr:to>
      <xdr:col>3</xdr:col>
      <xdr:colOff>1028700</xdr:colOff>
      <xdr:row>16</xdr:row>
      <xdr:rowOff>38100</xdr:rowOff>
    </xdr:to>
    <xdr:sp macro="" textlink="">
      <xdr:nvSpPr>
        <xdr:cNvPr id="4" name="Right Arrow 3">
          <a:extLst>
            <a:ext uri="{FF2B5EF4-FFF2-40B4-BE49-F238E27FC236}">
              <a16:creationId xmlns:a16="http://schemas.microsoft.com/office/drawing/2014/main" id="{00000000-0008-0000-0100-000004000000}"/>
            </a:ext>
          </a:extLst>
        </xdr:cNvPr>
        <xdr:cNvSpPr/>
      </xdr:nvSpPr>
      <xdr:spPr>
        <a:xfrm>
          <a:off x="6238875" y="3000375"/>
          <a:ext cx="457200" cy="238125"/>
        </a:xfrm>
        <a:prstGeom prst="rightArrow">
          <a:avLst/>
        </a:prstGeom>
        <a:solidFill>
          <a:srgbClr val="FFFF0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561975</xdr:colOff>
      <xdr:row>18</xdr:row>
      <xdr:rowOff>76200</xdr:rowOff>
    </xdr:from>
    <xdr:to>
      <xdr:col>3</xdr:col>
      <xdr:colOff>1019175</xdr:colOff>
      <xdr:row>19</xdr:row>
      <xdr:rowOff>104775</xdr:rowOff>
    </xdr:to>
    <xdr:sp macro="" textlink="">
      <xdr:nvSpPr>
        <xdr:cNvPr id="5" name="Right Arrow 4">
          <a:extLst>
            <a:ext uri="{FF2B5EF4-FFF2-40B4-BE49-F238E27FC236}">
              <a16:creationId xmlns:a16="http://schemas.microsoft.com/office/drawing/2014/main" id="{00000000-0008-0000-0100-000005000000}"/>
            </a:ext>
          </a:extLst>
        </xdr:cNvPr>
        <xdr:cNvSpPr/>
      </xdr:nvSpPr>
      <xdr:spPr>
        <a:xfrm>
          <a:off x="6229350" y="3676650"/>
          <a:ext cx="457200" cy="238125"/>
        </a:xfrm>
        <a:prstGeom prst="rightArrow">
          <a:avLst/>
        </a:prstGeom>
        <a:solidFill>
          <a:srgbClr val="FFFF0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xdr:col>
      <xdr:colOff>190500</xdr:colOff>
      <xdr:row>3</xdr:row>
      <xdr:rowOff>180974</xdr:rowOff>
    </xdr:from>
    <xdr:to>
      <xdr:col>2</xdr:col>
      <xdr:colOff>561975</xdr:colOff>
      <xdr:row>5</xdr:row>
      <xdr:rowOff>76199</xdr:rowOff>
    </xdr:to>
    <xdr:sp macro="" textlink="">
      <xdr:nvSpPr>
        <xdr:cNvPr id="6" name="Right Arrow 5">
          <a:extLst>
            <a:ext uri="{FF2B5EF4-FFF2-40B4-BE49-F238E27FC236}">
              <a16:creationId xmlns:a16="http://schemas.microsoft.com/office/drawing/2014/main" id="{00000000-0008-0000-0100-000006000000}"/>
            </a:ext>
          </a:extLst>
        </xdr:cNvPr>
        <xdr:cNvSpPr/>
      </xdr:nvSpPr>
      <xdr:spPr>
        <a:xfrm rot="16200000">
          <a:off x="5895975" y="742949"/>
          <a:ext cx="295275" cy="371475"/>
        </a:xfrm>
        <a:prstGeom prst="rightArrow">
          <a:avLst/>
        </a:prstGeom>
        <a:solidFill>
          <a:srgbClr val="FF0000"/>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rgbClr val="FF0000"/>
            </a:solidFill>
          </a:endParaRPr>
        </a:p>
      </xdr:txBody>
    </xdr:sp>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1</xdr:colOff>
      <xdr:row>0</xdr:row>
      <xdr:rowOff>0</xdr:rowOff>
    </xdr:from>
    <xdr:to>
      <xdr:col>8</xdr:col>
      <xdr:colOff>779859</xdr:colOff>
      <xdr:row>5</xdr:row>
      <xdr:rowOff>67354</xdr:rowOff>
    </xdr:to>
    <xdr:pic>
      <xdr:nvPicPr>
        <xdr:cNvPr id="2" name="Picture 1">
          <a:extLst>
            <a:ext uri="{FF2B5EF4-FFF2-40B4-BE49-F238E27FC236}">
              <a16:creationId xmlns:a16="http://schemas.microsoft.com/office/drawing/2014/main" id="{D2F71DB8-0549-4656-A043-7022008DD956}"/>
            </a:ext>
          </a:extLst>
        </xdr:cNvPr>
        <xdr:cNvPicPr>
          <a:picLocks noChangeAspect="1"/>
        </xdr:cNvPicPr>
      </xdr:nvPicPr>
      <xdr:blipFill>
        <a:blip xmlns:r="http://schemas.openxmlformats.org/officeDocument/2006/relationships" r:embed="rId1"/>
        <a:stretch>
          <a:fillRect/>
        </a:stretch>
      </xdr:blipFill>
      <xdr:spPr>
        <a:xfrm>
          <a:off x="1" y="0"/>
          <a:ext cx="6209108" cy="1067479"/>
        </a:xfrm>
        <a:prstGeom prst="rect">
          <a:avLst/>
        </a:prstGeom>
      </xdr:spPr>
    </xdr:pic>
    <xdr:clientData/>
  </xdr:twoCellAnchor>
  <xdr:twoCellAnchor editAs="oneCell">
    <xdr:from>
      <xdr:col>0</xdr:col>
      <xdr:colOff>148829</xdr:colOff>
      <xdr:row>53</xdr:row>
      <xdr:rowOff>174718</xdr:rowOff>
    </xdr:from>
    <xdr:to>
      <xdr:col>8</xdr:col>
      <xdr:colOff>767954</xdr:colOff>
      <xdr:row>56</xdr:row>
      <xdr:rowOff>140503</xdr:rowOff>
    </xdr:to>
    <xdr:pic>
      <xdr:nvPicPr>
        <xdr:cNvPr id="3" name="Picture 2">
          <a:extLst>
            <a:ext uri="{FF2B5EF4-FFF2-40B4-BE49-F238E27FC236}">
              <a16:creationId xmlns:a16="http://schemas.microsoft.com/office/drawing/2014/main" id="{C42BC136-0627-49B9-B086-3F0A8C9FF5AE}"/>
            </a:ext>
          </a:extLst>
        </xdr:cNvPr>
        <xdr:cNvPicPr>
          <a:picLocks noChangeAspect="1"/>
        </xdr:cNvPicPr>
      </xdr:nvPicPr>
      <xdr:blipFill>
        <a:blip xmlns:r="http://schemas.openxmlformats.org/officeDocument/2006/relationships" r:embed="rId2"/>
        <a:stretch>
          <a:fillRect/>
        </a:stretch>
      </xdr:blipFill>
      <xdr:spPr>
        <a:xfrm>
          <a:off x="148829" y="8937718"/>
          <a:ext cx="6048375" cy="565860"/>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1</xdr:colOff>
      <xdr:row>0</xdr:row>
      <xdr:rowOff>0</xdr:rowOff>
    </xdr:from>
    <xdr:to>
      <xdr:col>8</xdr:col>
      <xdr:colOff>779859</xdr:colOff>
      <xdr:row>5</xdr:row>
      <xdr:rowOff>67354</xdr:rowOff>
    </xdr:to>
    <xdr:pic>
      <xdr:nvPicPr>
        <xdr:cNvPr id="2" name="Picture 1">
          <a:extLst>
            <a:ext uri="{FF2B5EF4-FFF2-40B4-BE49-F238E27FC236}">
              <a16:creationId xmlns:a16="http://schemas.microsoft.com/office/drawing/2014/main" id="{6FE1305E-AED0-4D02-AC77-EF240E8CD24B}"/>
            </a:ext>
          </a:extLst>
        </xdr:cNvPr>
        <xdr:cNvPicPr>
          <a:picLocks noChangeAspect="1"/>
        </xdr:cNvPicPr>
      </xdr:nvPicPr>
      <xdr:blipFill>
        <a:blip xmlns:r="http://schemas.openxmlformats.org/officeDocument/2006/relationships" r:embed="rId1"/>
        <a:stretch>
          <a:fillRect/>
        </a:stretch>
      </xdr:blipFill>
      <xdr:spPr>
        <a:xfrm>
          <a:off x="1" y="0"/>
          <a:ext cx="6590108" cy="1067479"/>
        </a:xfrm>
        <a:prstGeom prst="rect">
          <a:avLst/>
        </a:prstGeom>
      </xdr:spPr>
    </xdr:pic>
    <xdr:clientData/>
  </xdr:twoCellAnchor>
  <xdr:twoCellAnchor editAs="oneCell">
    <xdr:from>
      <xdr:col>0</xdr:col>
      <xdr:colOff>148829</xdr:colOff>
      <xdr:row>53</xdr:row>
      <xdr:rowOff>174718</xdr:rowOff>
    </xdr:from>
    <xdr:to>
      <xdr:col>8</xdr:col>
      <xdr:colOff>767954</xdr:colOff>
      <xdr:row>56</xdr:row>
      <xdr:rowOff>140503</xdr:rowOff>
    </xdr:to>
    <xdr:pic>
      <xdr:nvPicPr>
        <xdr:cNvPr id="3" name="Picture 2">
          <a:extLst>
            <a:ext uri="{FF2B5EF4-FFF2-40B4-BE49-F238E27FC236}">
              <a16:creationId xmlns:a16="http://schemas.microsoft.com/office/drawing/2014/main" id="{C96B269E-88F9-4C8A-8000-A6FED64128AB}"/>
            </a:ext>
          </a:extLst>
        </xdr:cNvPr>
        <xdr:cNvPicPr>
          <a:picLocks noChangeAspect="1"/>
        </xdr:cNvPicPr>
      </xdr:nvPicPr>
      <xdr:blipFill>
        <a:blip xmlns:r="http://schemas.openxmlformats.org/officeDocument/2006/relationships" r:embed="rId2"/>
        <a:stretch>
          <a:fillRect/>
        </a:stretch>
      </xdr:blipFill>
      <xdr:spPr>
        <a:xfrm>
          <a:off x="148829" y="8937718"/>
          <a:ext cx="6429375" cy="565860"/>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Users\Admin\Desktop\PHI&#7870;U%20NH&#7852;N%20TI&#7872;N%20MSB.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
      <sheetName val="ĐIỀN"/>
      <sheetName val="Sheet1"/>
      <sheetName val="NHÁP"/>
      <sheetName val="PHIẾU NHẬN TIỀN MSB"/>
    </sheetNames>
    <sheetDataSet>
      <sheetData sheetId="0" refreshError="1"/>
      <sheetData sheetId="1">
        <row r="5">
          <cell r="B5">
            <v>128.30000000000001</v>
          </cell>
        </row>
        <row r="19">
          <cell r="B19" t="str">
            <v>VIET NAM</v>
          </cell>
        </row>
      </sheetData>
      <sheetData sheetId="2" refreshError="1"/>
      <sheetData sheetId="3">
        <row r="2">
          <cell r="A2" t="str">
            <v>AFGHANISTAN</v>
          </cell>
          <cell r="Q2" t="str">
            <v>AL|Alabama</v>
          </cell>
        </row>
      </sheetData>
      <sheetData sheetId="4" refreshError="1"/>
    </sheetDataSet>
  </externalBook>
</externalLink>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tabColor theme="4" tint="-0.499984740745262"/>
    <pageSetUpPr fitToPage="1"/>
  </sheetPr>
  <dimension ref="A5:R46"/>
  <sheetViews>
    <sheetView showZeros="0" tabSelected="1" topLeftCell="A13" zoomScale="70" zoomScaleNormal="70" workbookViewId="0">
      <selection activeCell="H8" sqref="H8"/>
    </sheetView>
  </sheetViews>
  <sheetFormatPr defaultColWidth="8.796875" defaultRowHeight="14.15" x14ac:dyDescent="0.4"/>
  <cols>
    <col min="1" max="1" width="8.796875" style="9"/>
    <col min="2" max="2" width="4.796875" style="9" customWidth="1"/>
    <col min="3" max="3" width="11.796875" style="9" customWidth="1"/>
    <col min="4" max="4" width="5.1328125" style="9" customWidth="1"/>
    <col min="5" max="5" width="4.796875" style="9" customWidth="1"/>
    <col min="6" max="6" width="11.796875" style="9" customWidth="1"/>
    <col min="7" max="7" width="8.1328125" style="9" customWidth="1"/>
    <col min="8" max="9" width="8.86328125" style="9" customWidth="1"/>
    <col min="10" max="10" width="9.53125" style="9" customWidth="1"/>
    <col min="11" max="11" width="9.796875" style="9" bestFit="1" customWidth="1"/>
    <col min="12" max="12" width="7.19921875" style="9" customWidth="1"/>
    <col min="13" max="13" width="8.796875" style="9"/>
    <col min="14" max="14" width="3.796875" style="9" customWidth="1"/>
    <col min="15" max="15" width="8.796875" style="9"/>
    <col min="16" max="16" width="41.33203125" style="9" bestFit="1" customWidth="1"/>
    <col min="17" max="16384" width="8.796875" style="9"/>
  </cols>
  <sheetData>
    <row r="5" spans="1:18" x14ac:dyDescent="0.4">
      <c r="E5" s="10"/>
      <c r="F5" s="10"/>
      <c r="G5" s="10"/>
      <c r="H5" s="10"/>
    </row>
    <row r="6" spans="1:18" ht="28.2" customHeight="1" x14ac:dyDescent="0.4">
      <c r="A6" s="76" t="s">
        <v>36</v>
      </c>
      <c r="B6" s="76"/>
      <c r="C6" s="76"/>
      <c r="D6" s="106" t="str">
        <f>'ĐIỀN THÔNG TIN'!B1</f>
        <v>426-733-0109</v>
      </c>
      <c r="E6" s="106"/>
      <c r="F6" s="106"/>
      <c r="G6" s="106"/>
      <c r="H6" s="106"/>
      <c r="I6" s="106"/>
      <c r="J6" s="106"/>
      <c r="K6" s="106"/>
      <c r="L6" s="106"/>
      <c r="M6" s="106"/>
      <c r="N6" s="106"/>
    </row>
    <row r="7" spans="1:18" ht="27.65" customHeight="1" x14ac:dyDescent="0.4">
      <c r="A7" s="76" t="s">
        <v>37</v>
      </c>
      <c r="B7" s="76"/>
      <c r="C7" s="76"/>
      <c r="D7" s="95" t="str">
        <f>'ĐIỀN THÔNG TIN'!B2</f>
        <v>MALAYSIA</v>
      </c>
      <c r="E7" s="95"/>
      <c r="F7" s="95"/>
      <c r="G7" s="95"/>
      <c r="H7" s="95"/>
      <c r="I7" s="95"/>
      <c r="J7" s="95"/>
      <c r="K7" s="95"/>
      <c r="L7" s="95"/>
      <c r="M7" s="95"/>
      <c r="N7" s="95"/>
    </row>
    <row r="8" spans="1:18" ht="2.5" customHeight="1" thickBot="1" x14ac:dyDescent="0.45">
      <c r="A8" s="12"/>
      <c r="B8" s="12"/>
      <c r="C8" s="12"/>
      <c r="D8" s="12"/>
      <c r="E8" s="12"/>
      <c r="F8" s="12"/>
      <c r="G8" s="12"/>
      <c r="H8" s="12"/>
      <c r="I8" s="12"/>
      <c r="J8" s="12"/>
      <c r="K8" s="12"/>
      <c r="L8" s="12"/>
      <c r="M8" s="12"/>
      <c r="N8" s="12"/>
      <c r="P8" s="13"/>
      <c r="Q8" s="13"/>
      <c r="R8" s="13" t="s">
        <v>55</v>
      </c>
    </row>
    <row r="9" spans="1:18" ht="16.5" customHeight="1" x14ac:dyDescent="0.4">
      <c r="A9" s="11" t="s">
        <v>0</v>
      </c>
      <c r="B9" s="11"/>
      <c r="C9" s="11"/>
      <c r="D9" s="11"/>
      <c r="E9" s="11"/>
      <c r="F9" s="11"/>
      <c r="G9" s="11"/>
      <c r="H9" s="107">
        <f>'ĐIỀN THÔNG TIN'!B3</f>
        <v>0</v>
      </c>
      <c r="I9" s="107"/>
      <c r="J9" s="107"/>
      <c r="K9" s="107"/>
      <c r="L9" s="107"/>
      <c r="M9" s="107"/>
      <c r="N9" s="107"/>
    </row>
    <row r="10" spans="1:18" ht="17.25" customHeight="1" thickBot="1" x14ac:dyDescent="0.45">
      <c r="A10" s="12" t="s">
        <v>1</v>
      </c>
      <c r="B10" s="12"/>
      <c r="C10" s="12"/>
      <c r="D10" s="12"/>
      <c r="E10" s="12"/>
      <c r="F10" s="12"/>
      <c r="G10" s="12"/>
      <c r="H10" s="105"/>
      <c r="I10" s="105"/>
      <c r="J10" s="105"/>
      <c r="K10" s="105"/>
      <c r="L10" s="105"/>
      <c r="M10" s="105"/>
      <c r="N10" s="105"/>
    </row>
    <row r="11" spans="1:18" ht="28.2" customHeight="1" x14ac:dyDescent="0.4">
      <c r="A11" s="76" t="s">
        <v>38</v>
      </c>
      <c r="B11" s="76"/>
      <c r="C11" s="76"/>
      <c r="D11" s="75">
        <f>'ĐIỀN THÔNG TIN'!B4</f>
        <v>1044.8900000000001</v>
      </c>
      <c r="E11" s="75"/>
      <c r="F11" s="75"/>
      <c r="G11" s="75"/>
      <c r="H11" s="75"/>
      <c r="I11" s="75"/>
      <c r="J11" s="75" t="str">
        <f>'ĐIỀN THÔNG TIN'!C4</f>
        <v>USD</v>
      </c>
      <c r="K11" s="75"/>
      <c r="L11" s="75"/>
      <c r="M11" s="75"/>
      <c r="N11" s="75"/>
    </row>
    <row r="12" spans="1:18" ht="20.25" customHeight="1" x14ac:dyDescent="0.4">
      <c r="A12" s="27" t="s">
        <v>2</v>
      </c>
      <c r="B12" s="27"/>
      <c r="C12" s="27"/>
      <c r="D12" s="28"/>
      <c r="E12" s="28"/>
      <c r="F12" s="28"/>
      <c r="G12" s="28"/>
      <c r="H12" s="28"/>
      <c r="I12" s="28"/>
      <c r="J12" s="28"/>
      <c r="K12" s="28"/>
      <c r="L12" s="28"/>
      <c r="M12" s="28"/>
      <c r="N12" s="28"/>
    </row>
    <row r="13" spans="1:18" ht="27" customHeight="1" thickBot="1" x14ac:dyDescent="0.45">
      <c r="A13" s="73" t="s">
        <v>3</v>
      </c>
      <c r="B13" s="73"/>
      <c r="C13" s="73"/>
      <c r="D13" s="105" t="str">
        <f>'ĐIỀN THÔNG TIN'!B5</f>
        <v>YEOH JIA JUN</v>
      </c>
      <c r="E13" s="105"/>
      <c r="F13" s="105"/>
      <c r="G13" s="105"/>
      <c r="H13" s="105"/>
      <c r="I13" s="105"/>
      <c r="J13" s="105"/>
      <c r="K13" s="105"/>
      <c r="L13" s="105"/>
      <c r="M13" s="105"/>
      <c r="N13" s="105"/>
    </row>
    <row r="14" spans="1:18" ht="25.2" customHeight="1" thickBot="1" x14ac:dyDescent="0.45">
      <c r="A14" s="81" t="s">
        <v>4</v>
      </c>
      <c r="B14" s="81"/>
      <c r="C14" s="81"/>
      <c r="D14" s="83" t="str">
        <f>'ĐIỀN THÔNG TIN'!B6</f>
        <v>30/08/1996</v>
      </c>
      <c r="E14" s="83"/>
      <c r="F14" s="83"/>
      <c r="G14" s="83"/>
      <c r="H14" s="81" t="s">
        <v>5</v>
      </c>
      <c r="I14" s="81"/>
      <c r="J14" s="81"/>
      <c r="K14" s="84" t="str">
        <f>'ĐIỀN THÔNG TIN'!B7</f>
        <v>0337378229</v>
      </c>
      <c r="L14" s="84"/>
      <c r="M14" s="84"/>
      <c r="N14" s="84"/>
    </row>
    <row r="15" spans="1:18" ht="27.65" customHeight="1" thickBot="1" x14ac:dyDescent="0.45">
      <c r="A15" s="82" t="s">
        <v>6</v>
      </c>
      <c r="B15" s="82"/>
      <c r="C15" s="82"/>
      <c r="D15" s="80" t="str">
        <f>'ĐIỀN THÔNG TIN'!B8</f>
        <v>75/9 BINH QUOI THANH DA BINH THANH</v>
      </c>
      <c r="E15" s="80"/>
      <c r="F15" s="80"/>
      <c r="G15" s="80"/>
      <c r="H15" s="80"/>
      <c r="I15" s="80"/>
      <c r="J15" s="80"/>
      <c r="K15" s="80"/>
      <c r="L15" s="80"/>
      <c r="M15" s="80"/>
      <c r="N15" s="80"/>
    </row>
    <row r="16" spans="1:18" ht="30.65" customHeight="1" thickBot="1" x14ac:dyDescent="0.45">
      <c r="A16" s="76" t="s">
        <v>34</v>
      </c>
      <c r="B16" s="76"/>
      <c r="C16" s="76"/>
      <c r="D16" s="79">
        <f>'ĐIỀN THÔNG TIN'!B9</f>
        <v>0</v>
      </c>
      <c r="E16" s="80"/>
      <c r="F16" s="80"/>
      <c r="G16" s="80"/>
      <c r="H16" s="80"/>
      <c r="I16" s="80"/>
      <c r="J16" s="80"/>
      <c r="K16" s="80"/>
      <c r="L16" s="80"/>
      <c r="M16" s="80"/>
      <c r="N16" s="80"/>
    </row>
    <row r="17" spans="1:17" ht="29.5" customHeight="1" x14ac:dyDescent="0.4">
      <c r="A17" s="76" t="s">
        <v>35</v>
      </c>
      <c r="B17" s="77"/>
      <c r="C17" s="77"/>
      <c r="D17" s="78" t="s">
        <v>7</v>
      </c>
      <c r="E17" s="78"/>
      <c r="F17" s="78"/>
      <c r="G17" s="78"/>
      <c r="H17" s="78"/>
      <c r="I17" s="78"/>
      <c r="J17" s="78"/>
      <c r="K17" s="78"/>
      <c r="L17" s="78"/>
      <c r="M17" s="78"/>
      <c r="N17" s="78"/>
      <c r="Q17" s="9" t="s">
        <v>42</v>
      </c>
    </row>
    <row r="18" spans="1:17" ht="28.95" customHeight="1" thickBot="1" x14ac:dyDescent="0.45">
      <c r="A18" s="76" t="s">
        <v>8</v>
      </c>
      <c r="B18" s="76"/>
      <c r="C18" s="76"/>
      <c r="D18" s="73" t="s">
        <v>53</v>
      </c>
      <c r="E18" s="73"/>
      <c r="F18" s="73"/>
      <c r="G18" s="87" t="str">
        <f>'ĐIỀN THÔNG TIN'!B10</f>
        <v>CCCD</v>
      </c>
      <c r="H18" s="87"/>
      <c r="I18" s="73" t="s">
        <v>319</v>
      </c>
      <c r="J18" s="73"/>
      <c r="K18" s="88" t="str">
        <f>'ĐIỀN THÔNG TIN'!B11</f>
        <v>A60556819</v>
      </c>
      <c r="L18" s="88"/>
      <c r="M18" s="88"/>
      <c r="N18" s="88"/>
      <c r="Q18" s="9" t="s">
        <v>43</v>
      </c>
    </row>
    <row r="19" spans="1:17" ht="25.2" customHeight="1" thickBot="1" x14ac:dyDescent="0.45">
      <c r="A19" s="73" t="s">
        <v>41</v>
      </c>
      <c r="B19" s="73"/>
      <c r="C19" s="53" t="str">
        <f>'ĐIỀN THÔNG TIN'!B12</f>
        <v>MALAYSIA</v>
      </c>
      <c r="D19" s="81" t="s">
        <v>318</v>
      </c>
      <c r="E19" s="81"/>
      <c r="F19" s="81"/>
      <c r="G19" s="85" t="str">
        <f>'ĐIỀN THÔNG TIN'!B20</f>
        <v>Cục cảnh sát QLHC về TTXH</v>
      </c>
      <c r="H19" s="85"/>
      <c r="I19" s="14" t="s">
        <v>54</v>
      </c>
      <c r="J19" s="31" t="str">
        <f>'ĐIỀN THÔNG TIN'!B13</f>
        <v>19/12/2023</v>
      </c>
      <c r="K19" s="81" t="s">
        <v>44</v>
      </c>
      <c r="L19" s="81"/>
      <c r="M19" s="89" t="str">
        <f>'ĐIỀN THÔNG TIN'!B14</f>
        <v>19/12/2028</v>
      </c>
      <c r="N19" s="89"/>
    </row>
    <row r="20" spans="1:17" ht="29.5" customHeight="1" x14ac:dyDescent="0.4">
      <c r="A20" s="76" t="s">
        <v>56</v>
      </c>
      <c r="B20" s="76"/>
      <c r="C20" s="76"/>
      <c r="D20" s="76"/>
      <c r="E20" s="76"/>
      <c r="F20" s="76"/>
      <c r="G20" s="76"/>
      <c r="H20" s="76"/>
      <c r="I20" s="76"/>
      <c r="J20" s="76"/>
      <c r="K20" s="76"/>
      <c r="L20" s="76"/>
      <c r="M20" s="76"/>
      <c r="N20" s="76"/>
    </row>
    <row r="21" spans="1:17" ht="25.2" customHeight="1" thickBot="1" x14ac:dyDescent="0.45">
      <c r="A21" s="73" t="s">
        <v>45</v>
      </c>
      <c r="B21" s="73"/>
      <c r="C21" s="54"/>
      <c r="D21" s="73" t="s">
        <v>46</v>
      </c>
      <c r="E21" s="73"/>
      <c r="F21" s="73"/>
      <c r="G21" s="86"/>
      <c r="H21" s="86"/>
      <c r="I21" s="14" t="s">
        <v>54</v>
      </c>
      <c r="J21" s="33"/>
      <c r="K21" s="73" t="s">
        <v>44</v>
      </c>
      <c r="L21" s="73"/>
      <c r="M21" s="90"/>
      <c r="N21" s="90"/>
    </row>
    <row r="22" spans="1:17" ht="27.65" customHeight="1" x14ac:dyDescent="0.4">
      <c r="A22" s="82" t="s">
        <v>47</v>
      </c>
      <c r="B22" s="82"/>
      <c r="C22" s="82"/>
      <c r="D22" s="92" t="str">
        <f>'ĐIỀN THÔNG TIN'!B15</f>
        <v xml:space="preserve">Thất nghiệp </v>
      </c>
      <c r="E22" s="92"/>
      <c r="F22" s="92"/>
      <c r="G22" s="92"/>
      <c r="H22" s="82"/>
      <c r="I22" s="82"/>
      <c r="J22" s="82"/>
      <c r="K22" s="82"/>
      <c r="L22" s="82"/>
      <c r="M22" s="82"/>
      <c r="N22" s="82"/>
      <c r="P22" s="15"/>
    </row>
    <row r="23" spans="1:17" ht="25.95" customHeight="1" x14ac:dyDescent="0.4">
      <c r="A23" s="76" t="s">
        <v>49</v>
      </c>
      <c r="B23" s="76"/>
      <c r="C23" s="76"/>
      <c r="D23" s="93" t="str">
        <f>C19</f>
        <v>MALAYSIA</v>
      </c>
      <c r="E23" s="93"/>
      <c r="F23" s="93"/>
      <c r="G23" s="93"/>
      <c r="H23" s="76" t="s">
        <v>320</v>
      </c>
      <c r="I23" s="76"/>
      <c r="J23" s="93" t="str">
        <f>D23</f>
        <v>MALAYSIA</v>
      </c>
      <c r="K23" s="93"/>
      <c r="L23" s="93"/>
      <c r="M23" s="93"/>
      <c r="N23" s="93"/>
      <c r="P23" s="15"/>
    </row>
    <row r="24" spans="1:17" ht="42" customHeight="1" thickBot="1" x14ac:dyDescent="0.45">
      <c r="A24" s="73" t="s">
        <v>50</v>
      </c>
      <c r="B24" s="73"/>
      <c r="C24" s="73"/>
      <c r="D24" s="73"/>
      <c r="E24" s="73"/>
      <c r="F24" s="87" t="str">
        <f>'ĐIỀN THÔNG TIN'!B16</f>
        <v>Người thân</v>
      </c>
      <c r="G24" s="87"/>
      <c r="H24" s="73" t="s">
        <v>52</v>
      </c>
      <c r="I24" s="73"/>
      <c r="J24" s="73"/>
      <c r="K24" s="87" t="str">
        <f>'ĐIỀN THÔNG TIN'!B17</f>
        <v>Chi phí đi lại</v>
      </c>
      <c r="L24" s="87"/>
      <c r="M24" s="87"/>
      <c r="N24" s="87"/>
      <c r="P24" s="15" t="s">
        <v>51</v>
      </c>
    </row>
    <row r="25" spans="1:17" ht="4.95" customHeight="1" x14ac:dyDescent="0.4">
      <c r="A25" s="28"/>
      <c r="B25" s="28"/>
      <c r="C25" s="28"/>
      <c r="D25" s="28"/>
      <c r="E25" s="28"/>
      <c r="F25" s="28"/>
      <c r="G25" s="28"/>
      <c r="H25" s="28"/>
      <c r="I25" s="28"/>
      <c r="J25" s="28"/>
      <c r="K25" s="28"/>
      <c r="L25" s="28"/>
      <c r="M25" s="28"/>
      <c r="N25" s="28"/>
    </row>
    <row r="26" spans="1:17" x14ac:dyDescent="0.4">
      <c r="A26" s="97" t="s">
        <v>10</v>
      </c>
      <c r="B26" s="97"/>
      <c r="C26" s="97"/>
      <c r="D26" s="97"/>
      <c r="E26" s="97"/>
      <c r="F26" s="97"/>
      <c r="G26" s="97"/>
      <c r="H26" s="97"/>
      <c r="I26" s="97"/>
      <c r="J26" s="97"/>
      <c r="K26" s="97"/>
      <c r="L26" s="97"/>
      <c r="M26" s="97"/>
      <c r="N26" s="97"/>
    </row>
    <row r="27" spans="1:17" ht="24.75" customHeight="1" x14ac:dyDescent="0.4">
      <c r="A27" s="36" t="s">
        <v>3</v>
      </c>
      <c r="B27" s="95" t="str">
        <f>'ĐIỀN THÔNG TIN'!B18</f>
        <v>YEOH JIA JUN</v>
      </c>
      <c r="C27" s="95"/>
      <c r="D27" s="95"/>
      <c r="E27" s="95"/>
      <c r="F27" s="95"/>
      <c r="G27" s="95"/>
      <c r="H27" s="95"/>
      <c r="I27" s="95"/>
      <c r="J27" s="95"/>
      <c r="K27" s="95"/>
      <c r="L27" s="95"/>
      <c r="M27" s="95"/>
      <c r="N27" s="95"/>
    </row>
    <row r="28" spans="1:17" ht="19.5" customHeight="1" x14ac:dyDescent="0.4">
      <c r="A28" s="91" t="s">
        <v>340</v>
      </c>
      <c r="B28" s="91"/>
      <c r="C28" s="91"/>
      <c r="D28" s="74"/>
      <c r="E28" s="74"/>
      <c r="F28" s="74"/>
      <c r="G28" s="74"/>
      <c r="H28" s="74"/>
      <c r="I28" s="55" t="s">
        <v>342</v>
      </c>
      <c r="J28" s="74"/>
      <c r="K28" s="74"/>
      <c r="L28" s="74"/>
      <c r="M28" s="74"/>
      <c r="N28" s="74"/>
    </row>
    <row r="29" spans="1:17" ht="16.5" customHeight="1" x14ac:dyDescent="0.4">
      <c r="A29" s="96" t="s">
        <v>341</v>
      </c>
      <c r="B29" s="96"/>
      <c r="C29" s="96"/>
      <c r="D29" s="74"/>
      <c r="E29" s="74"/>
      <c r="F29" s="74"/>
      <c r="G29" s="74"/>
      <c r="H29" s="74"/>
      <c r="I29" s="55" t="s">
        <v>343</v>
      </c>
      <c r="J29" s="74"/>
      <c r="K29" s="74"/>
      <c r="L29" s="74"/>
      <c r="M29" s="74"/>
      <c r="N29" s="74"/>
    </row>
    <row r="30" spans="1:17" x14ac:dyDescent="0.4">
      <c r="A30" s="16" t="s">
        <v>39</v>
      </c>
      <c r="B30" s="16"/>
      <c r="C30" s="16"/>
      <c r="D30" s="16"/>
      <c r="E30" s="16"/>
      <c r="F30" s="16"/>
      <c r="G30" s="16"/>
      <c r="H30" s="16"/>
      <c r="I30" s="16"/>
      <c r="J30" s="16"/>
      <c r="K30" s="16"/>
      <c r="L30" s="16"/>
      <c r="M30" s="16"/>
      <c r="N30" s="16"/>
    </row>
    <row r="31" spans="1:17" ht="20.5" customHeight="1" x14ac:dyDescent="0.4">
      <c r="A31" s="72" t="s">
        <v>11</v>
      </c>
      <c r="B31" s="72"/>
      <c r="C31" s="72"/>
      <c r="D31" s="72"/>
      <c r="E31" s="72"/>
      <c r="F31" s="72"/>
      <c r="G31" s="72"/>
      <c r="H31" s="72"/>
      <c r="I31" s="72"/>
      <c r="J31" s="72"/>
      <c r="K31" s="72"/>
      <c r="L31" s="72"/>
      <c r="M31" s="72"/>
      <c r="N31" s="72"/>
    </row>
    <row r="32" spans="1:17" ht="21" customHeight="1" x14ac:dyDescent="0.4">
      <c r="A32" s="72" t="s">
        <v>40</v>
      </c>
      <c r="B32" s="72"/>
      <c r="C32" s="72"/>
      <c r="D32" s="72"/>
      <c r="E32" s="72"/>
      <c r="F32" s="72"/>
      <c r="G32" s="72"/>
      <c r="H32" s="72"/>
      <c r="I32" s="72"/>
      <c r="J32" s="72"/>
      <c r="K32" s="72"/>
      <c r="L32" s="72"/>
      <c r="M32" s="72"/>
      <c r="N32" s="72"/>
    </row>
    <row r="33" spans="1:14" ht="24.65" customHeight="1" x14ac:dyDescent="0.4">
      <c r="A33" s="72" t="s">
        <v>12</v>
      </c>
      <c r="B33" s="72"/>
      <c r="C33" s="72"/>
      <c r="D33" s="72"/>
      <c r="E33" s="72"/>
      <c r="F33" s="72"/>
      <c r="G33" s="72"/>
      <c r="H33" s="72"/>
      <c r="I33" s="17" t="s">
        <v>15</v>
      </c>
      <c r="J33" s="62">
        <f ca="1">TODAY()</f>
        <v>45846</v>
      </c>
      <c r="K33" s="94" t="s">
        <v>14</v>
      </c>
      <c r="L33" s="94"/>
      <c r="M33" s="94"/>
      <c r="N33" s="94"/>
    </row>
    <row r="34" spans="1:14" ht="23.5" customHeight="1" x14ac:dyDescent="0.4">
      <c r="A34" s="72" t="s">
        <v>13</v>
      </c>
      <c r="B34" s="72"/>
      <c r="C34" s="72"/>
      <c r="D34" s="72"/>
      <c r="E34" s="72"/>
      <c r="F34" s="72"/>
      <c r="G34" s="72"/>
      <c r="H34" s="72"/>
      <c r="I34" s="72"/>
      <c r="J34" s="18"/>
      <c r="K34" s="18"/>
      <c r="L34" s="18"/>
      <c r="M34" s="18"/>
      <c r="N34" s="18"/>
    </row>
    <row r="35" spans="1:14" x14ac:dyDescent="0.4">
      <c r="A35" s="100" t="s">
        <v>16</v>
      </c>
      <c r="B35" s="100"/>
      <c r="C35" s="100"/>
      <c r="D35" s="100"/>
      <c r="E35" s="100"/>
      <c r="F35" s="100"/>
      <c r="G35" s="100"/>
      <c r="H35" s="100"/>
      <c r="I35" s="100"/>
      <c r="J35" s="100"/>
      <c r="K35" s="100"/>
      <c r="L35" s="100"/>
      <c r="M35" s="100"/>
      <c r="N35" s="20"/>
    </row>
    <row r="36" spans="1:14" x14ac:dyDescent="0.4">
      <c r="A36" s="21" t="s">
        <v>17</v>
      </c>
      <c r="F36" s="21" t="s">
        <v>23</v>
      </c>
    </row>
    <row r="37" spans="1:14" ht="25.95" customHeight="1" x14ac:dyDescent="0.4">
      <c r="A37" s="98" t="s">
        <v>18</v>
      </c>
      <c r="B37" s="98"/>
      <c r="C37" s="103" t="str">
        <f>D6</f>
        <v>426-733-0109</v>
      </c>
      <c r="D37" s="104"/>
      <c r="F37" s="98" t="s">
        <v>24</v>
      </c>
      <c r="G37" s="98"/>
      <c r="H37" s="101" t="str">
        <f>K18</f>
        <v>A60556819</v>
      </c>
      <c r="I37" s="102"/>
      <c r="J37" s="99" t="s">
        <v>33</v>
      </c>
      <c r="K37" s="99"/>
      <c r="L37" s="99"/>
      <c r="M37" s="99"/>
      <c r="N37" s="99"/>
    </row>
    <row r="38" spans="1:14" ht="4.2" customHeight="1" x14ac:dyDescent="0.4">
      <c r="A38" s="22"/>
      <c r="B38" s="22"/>
      <c r="F38" s="19"/>
      <c r="G38" s="19"/>
      <c r="H38" s="19"/>
      <c r="J38" s="99"/>
      <c r="K38" s="99"/>
      <c r="L38" s="99"/>
      <c r="M38" s="99"/>
      <c r="N38" s="99"/>
    </row>
    <row r="39" spans="1:14" ht="27.65" customHeight="1" x14ac:dyDescent="0.4">
      <c r="A39" s="98" t="s">
        <v>19</v>
      </c>
      <c r="B39" s="98"/>
      <c r="C39" s="57">
        <f>D11</f>
        <v>1044.8900000000001</v>
      </c>
      <c r="D39" s="58" t="str">
        <f>J11</f>
        <v>USD</v>
      </c>
      <c r="F39" s="98" t="s">
        <v>25</v>
      </c>
      <c r="G39" s="98"/>
      <c r="H39" s="101" t="str">
        <f>G18</f>
        <v>CCCD</v>
      </c>
      <c r="I39" s="102"/>
      <c r="J39" s="99"/>
      <c r="K39" s="99"/>
      <c r="L39" s="99"/>
      <c r="M39" s="99"/>
      <c r="N39" s="99"/>
    </row>
    <row r="40" spans="1:14" ht="4.2" customHeight="1" x14ac:dyDescent="0.4">
      <c r="A40" s="22"/>
      <c r="B40" s="22"/>
      <c r="F40" s="19"/>
      <c r="G40" s="19"/>
      <c r="H40" s="19"/>
      <c r="J40" s="99"/>
      <c r="K40" s="99"/>
      <c r="L40" s="99"/>
      <c r="M40" s="99"/>
      <c r="N40" s="99"/>
    </row>
    <row r="41" spans="1:14" ht="26.5" customHeight="1" x14ac:dyDescent="0.4">
      <c r="A41" s="98" t="s">
        <v>20</v>
      </c>
      <c r="B41" s="98"/>
      <c r="C41" s="23"/>
      <c r="D41" s="24"/>
      <c r="F41" s="98" t="s">
        <v>26</v>
      </c>
      <c r="G41" s="98"/>
      <c r="H41" s="101" t="str">
        <f>'ĐIỀN THÔNG TIN'!B20</f>
        <v>Cục cảnh sát QLHC về TTXH</v>
      </c>
      <c r="I41" s="102"/>
      <c r="J41" s="99"/>
      <c r="K41" s="99"/>
      <c r="L41" s="99"/>
      <c r="M41" s="99"/>
      <c r="N41" s="99"/>
    </row>
    <row r="42" spans="1:14" ht="4.2" customHeight="1" x14ac:dyDescent="0.4">
      <c r="A42" s="22"/>
      <c r="B42" s="22"/>
      <c r="F42" s="19"/>
      <c r="G42" s="19"/>
      <c r="H42" s="19"/>
      <c r="J42" s="99"/>
      <c r="K42" s="99"/>
      <c r="L42" s="99"/>
      <c r="M42" s="99"/>
      <c r="N42" s="99"/>
    </row>
    <row r="43" spans="1:14" ht="27" customHeight="1" x14ac:dyDescent="0.4">
      <c r="A43" s="98" t="s">
        <v>21</v>
      </c>
      <c r="B43" s="98"/>
      <c r="C43" s="23"/>
      <c r="D43" s="24"/>
      <c r="F43" s="18" t="s">
        <v>27</v>
      </c>
      <c r="G43" s="34" t="str">
        <f>J19</f>
        <v>19/12/2023</v>
      </c>
      <c r="H43" s="22" t="s">
        <v>30</v>
      </c>
      <c r="I43" s="34" t="str">
        <f>M19</f>
        <v>19/12/2028</v>
      </c>
      <c r="J43" s="99"/>
      <c r="K43" s="99"/>
      <c r="L43" s="99"/>
      <c r="M43" s="99"/>
      <c r="N43" s="99"/>
    </row>
    <row r="44" spans="1:14" ht="26.5" customHeight="1" x14ac:dyDescent="0.4">
      <c r="A44" s="98" t="s">
        <v>22</v>
      </c>
      <c r="B44" s="98"/>
      <c r="C44" s="23"/>
      <c r="D44" s="24"/>
      <c r="F44" s="37" t="s">
        <v>28</v>
      </c>
      <c r="G44" s="25">
        <v>114</v>
      </c>
      <c r="H44" s="22" t="s">
        <v>31</v>
      </c>
      <c r="I44" s="63">
        <f ca="1">TODAY()</f>
        <v>45846</v>
      </c>
      <c r="J44" s="99"/>
      <c r="K44" s="99"/>
      <c r="L44" s="99"/>
      <c r="M44" s="99"/>
      <c r="N44" s="99"/>
    </row>
    <row r="45" spans="1:14" ht="55.2" customHeight="1" x14ac:dyDescent="0.4">
      <c r="F45" s="98" t="s">
        <v>29</v>
      </c>
      <c r="G45" s="98"/>
      <c r="H45" s="22" t="s">
        <v>32</v>
      </c>
      <c r="I45" s="26"/>
      <c r="J45" s="99"/>
      <c r="K45" s="99"/>
      <c r="L45" s="99"/>
      <c r="M45" s="99"/>
      <c r="N45" s="99"/>
    </row>
    <row r="46" spans="1:14" ht="3.65" customHeight="1" x14ac:dyDescent="0.4"/>
  </sheetData>
  <mergeCells count="76">
    <mergeCell ref="D13:N13"/>
    <mergeCell ref="D6:N6"/>
    <mergeCell ref="D7:N7"/>
    <mergeCell ref="A6:C6"/>
    <mergeCell ref="A7:C7"/>
    <mergeCell ref="A11:C11"/>
    <mergeCell ref="H9:N10"/>
    <mergeCell ref="J11:N11"/>
    <mergeCell ref="F45:G45"/>
    <mergeCell ref="J37:N45"/>
    <mergeCell ref="A35:M35"/>
    <mergeCell ref="A37:B37"/>
    <mergeCell ref="A39:B39"/>
    <mergeCell ref="A41:B41"/>
    <mergeCell ref="A43:B43"/>
    <mergeCell ref="A44:B44"/>
    <mergeCell ref="F37:G37"/>
    <mergeCell ref="F39:G39"/>
    <mergeCell ref="F41:G41"/>
    <mergeCell ref="H37:I37"/>
    <mergeCell ref="H39:I39"/>
    <mergeCell ref="C37:D37"/>
    <mergeCell ref="H41:I41"/>
    <mergeCell ref="K33:N33"/>
    <mergeCell ref="A32:N32"/>
    <mergeCell ref="A33:H33"/>
    <mergeCell ref="A31:N31"/>
    <mergeCell ref="A24:E24"/>
    <mergeCell ref="H24:J24"/>
    <mergeCell ref="F24:G24"/>
    <mergeCell ref="K24:N24"/>
    <mergeCell ref="B27:N27"/>
    <mergeCell ref="A29:C29"/>
    <mergeCell ref="J28:N28"/>
    <mergeCell ref="J29:N29"/>
    <mergeCell ref="A26:N26"/>
    <mergeCell ref="J22:N22"/>
    <mergeCell ref="D28:H28"/>
    <mergeCell ref="A28:C28"/>
    <mergeCell ref="D22:G22"/>
    <mergeCell ref="A23:C23"/>
    <mergeCell ref="H23:I23"/>
    <mergeCell ref="D23:G23"/>
    <mergeCell ref="J23:N23"/>
    <mergeCell ref="K21:L21"/>
    <mergeCell ref="A18:C18"/>
    <mergeCell ref="A22:C22"/>
    <mergeCell ref="I18:J18"/>
    <mergeCell ref="H22:I22"/>
    <mergeCell ref="G19:H19"/>
    <mergeCell ref="G21:H21"/>
    <mergeCell ref="A20:N20"/>
    <mergeCell ref="D18:F18"/>
    <mergeCell ref="D19:F19"/>
    <mergeCell ref="K19:L19"/>
    <mergeCell ref="G18:H18"/>
    <mergeCell ref="K18:N18"/>
    <mergeCell ref="M19:N19"/>
    <mergeCell ref="A19:B19"/>
    <mergeCell ref="M21:N21"/>
    <mergeCell ref="A34:I34"/>
    <mergeCell ref="A21:B21"/>
    <mergeCell ref="D21:F21"/>
    <mergeCell ref="D29:H29"/>
    <mergeCell ref="D11:I11"/>
    <mergeCell ref="A17:C17"/>
    <mergeCell ref="D17:N17"/>
    <mergeCell ref="A16:C16"/>
    <mergeCell ref="D16:N16"/>
    <mergeCell ref="H14:J14"/>
    <mergeCell ref="D15:N15"/>
    <mergeCell ref="A14:C14"/>
    <mergeCell ref="A15:C15"/>
    <mergeCell ref="D14:G14"/>
    <mergeCell ref="K14:N14"/>
    <mergeCell ref="A13:C13"/>
  </mergeCells>
  <pageMargins left="0.25" right="0.25" top="0.25" bottom="0.25" header="0.3" footer="0.3"/>
  <pageSetup scale="73" fitToWidth="0"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2">
    <tabColor theme="8" tint="-0.249977111117893"/>
    <pageSetUpPr fitToPage="1"/>
  </sheetPr>
  <dimension ref="A5:R48"/>
  <sheetViews>
    <sheetView showZeros="0" zoomScaleNormal="100" workbookViewId="0">
      <selection activeCell="I18" sqref="I18:J18"/>
    </sheetView>
  </sheetViews>
  <sheetFormatPr defaultColWidth="8.796875" defaultRowHeight="14.15" x14ac:dyDescent="0.4"/>
  <cols>
    <col min="1" max="1" width="8.796875" style="9"/>
    <col min="2" max="2" width="4.796875" style="9" customWidth="1"/>
    <col min="3" max="3" width="11.796875" style="9" customWidth="1"/>
    <col min="4" max="4" width="5.1328125" style="9" customWidth="1"/>
    <col min="5" max="5" width="4" style="9" customWidth="1"/>
    <col min="6" max="6" width="11.796875" style="9" customWidth="1"/>
    <col min="7" max="7" width="8.1328125" style="9" customWidth="1"/>
    <col min="8" max="9" width="8.86328125" style="9" customWidth="1"/>
    <col min="10" max="10" width="9.53125" style="9" customWidth="1"/>
    <col min="11" max="11" width="9.796875" style="9" bestFit="1" customWidth="1"/>
    <col min="12" max="12" width="8.33203125" style="9" customWidth="1"/>
    <col min="13" max="13" width="8.6640625" style="9" customWidth="1"/>
    <col min="14" max="14" width="3.796875" style="9" hidden="1" customWidth="1"/>
    <col min="15" max="15" width="8.796875" style="9"/>
    <col min="16" max="16" width="41.33203125" style="9" bestFit="1" customWidth="1"/>
    <col min="17" max="16384" width="8.796875" style="9"/>
  </cols>
  <sheetData>
    <row r="5" spans="1:18" x14ac:dyDescent="0.4">
      <c r="E5" s="10"/>
      <c r="F5" s="10"/>
      <c r="G5" s="10"/>
      <c r="H5" s="10"/>
    </row>
    <row r="6" spans="1:18" ht="28.2" customHeight="1" x14ac:dyDescent="0.4">
      <c r="A6" s="76" t="s">
        <v>36</v>
      </c>
      <c r="B6" s="76"/>
      <c r="C6" s="76"/>
      <c r="D6" s="108" t="str">
        <f>'ĐIỀN THÔNG TIN'!F1</f>
        <v>275-145-4064</v>
      </c>
      <c r="E6" s="108"/>
      <c r="F6" s="108"/>
      <c r="G6" s="108"/>
      <c r="H6" s="108"/>
      <c r="I6" s="108"/>
      <c r="J6" s="108"/>
      <c r="K6" s="108"/>
      <c r="L6" s="108"/>
      <c r="M6" s="108"/>
      <c r="N6" s="108"/>
    </row>
    <row r="7" spans="1:18" ht="27.65" customHeight="1" x14ac:dyDescent="0.4">
      <c r="A7" s="76" t="s">
        <v>37</v>
      </c>
      <c r="B7" s="76"/>
      <c r="C7" s="76"/>
      <c r="D7" s="74" t="str">
        <f>'ĐIỀN THÔNG TIN'!F2</f>
        <v>AUSTRALIA</v>
      </c>
      <c r="E7" s="74"/>
      <c r="F7" s="74"/>
      <c r="G7" s="74"/>
      <c r="H7" s="74"/>
      <c r="I7" s="74"/>
      <c r="J7" s="74"/>
      <c r="K7" s="74"/>
      <c r="L7" s="74"/>
      <c r="M7" s="74"/>
      <c r="N7" s="74"/>
    </row>
    <row r="8" spans="1:18" ht="2.5" customHeight="1" thickBot="1" x14ac:dyDescent="0.45">
      <c r="A8" s="12"/>
      <c r="B8" s="12"/>
      <c r="C8" s="12"/>
      <c r="D8" s="12"/>
      <c r="E8" s="12"/>
      <c r="F8" s="12"/>
      <c r="G8" s="12"/>
      <c r="H8" s="12"/>
      <c r="I8" s="12"/>
      <c r="J8" s="12"/>
      <c r="K8" s="12"/>
      <c r="L8" s="12"/>
      <c r="M8" s="12"/>
      <c r="N8" s="12"/>
      <c r="P8" s="13"/>
      <c r="Q8" s="13"/>
      <c r="R8" s="13" t="s">
        <v>55</v>
      </c>
    </row>
    <row r="9" spans="1:18" x14ac:dyDescent="0.4">
      <c r="A9" s="11" t="s">
        <v>0</v>
      </c>
      <c r="B9" s="11"/>
      <c r="C9" s="11"/>
      <c r="D9" s="11"/>
      <c r="E9" s="11"/>
      <c r="F9" s="11"/>
      <c r="G9" s="11"/>
      <c r="H9" s="11"/>
      <c r="I9" s="11"/>
      <c r="J9" s="11"/>
      <c r="K9" s="11"/>
      <c r="L9" s="11"/>
      <c r="M9" s="11"/>
      <c r="N9" s="11"/>
    </row>
    <row r="10" spans="1:18" ht="17.25" customHeight="1" thickBot="1" x14ac:dyDescent="0.45">
      <c r="A10" s="12" t="s">
        <v>1</v>
      </c>
      <c r="B10" s="12"/>
      <c r="C10" s="12"/>
      <c r="D10" s="12"/>
      <c r="E10" s="12"/>
      <c r="F10" s="12"/>
      <c r="G10" s="12"/>
      <c r="H10" s="109">
        <f>'ĐIỀN THÔNG TIN'!F3</f>
        <v>0</v>
      </c>
      <c r="I10" s="109"/>
      <c r="J10" s="109"/>
      <c r="K10" s="109"/>
      <c r="L10" s="109"/>
      <c r="M10" s="109"/>
      <c r="N10" s="109"/>
    </row>
    <row r="11" spans="1:18" ht="28.2" customHeight="1" x14ac:dyDescent="0.4">
      <c r="A11" s="76" t="s">
        <v>38</v>
      </c>
      <c r="B11" s="76"/>
      <c r="C11" s="76"/>
      <c r="D11" s="110">
        <f>'ĐIỀN THÔNG TIN'!F4</f>
        <v>156.97999999999999</v>
      </c>
      <c r="E11" s="110"/>
      <c r="F11" s="110"/>
      <c r="G11" s="110"/>
      <c r="H11" s="110"/>
      <c r="I11" s="110"/>
      <c r="J11" s="110"/>
      <c r="K11" s="110"/>
      <c r="L11" s="110"/>
      <c r="M11" s="66" t="str">
        <f>'ĐIỀN THÔNG TIN'!G4</f>
        <v>USD</v>
      </c>
      <c r="N11" s="66"/>
    </row>
    <row r="12" spans="1:18" x14ac:dyDescent="0.4">
      <c r="A12" s="27" t="s">
        <v>2</v>
      </c>
      <c r="B12" s="27"/>
      <c r="C12" s="27"/>
      <c r="D12" s="28"/>
      <c r="E12" s="28"/>
      <c r="F12" s="28"/>
      <c r="G12" s="28"/>
      <c r="H12" s="28"/>
      <c r="I12" s="28"/>
      <c r="J12" s="28"/>
      <c r="K12" s="28"/>
      <c r="L12" s="28"/>
      <c r="M12" s="28"/>
      <c r="N12" s="28"/>
      <c r="P12" s="9" t="s">
        <v>51</v>
      </c>
    </row>
    <row r="13" spans="1:18" ht="27" customHeight="1" thickBot="1" x14ac:dyDescent="0.45">
      <c r="A13" s="73" t="s">
        <v>3</v>
      </c>
      <c r="B13" s="73"/>
      <c r="C13" s="111" t="str">
        <f>'ĐIỀN THÔNG TIN'!F5</f>
        <v>ALEX ROBERTS</v>
      </c>
      <c r="D13" s="111"/>
      <c r="E13" s="111"/>
      <c r="F13" s="111"/>
      <c r="G13" s="111"/>
      <c r="H13" s="111"/>
      <c r="I13" s="111"/>
      <c r="J13" s="111"/>
      <c r="K13" s="111"/>
      <c r="L13" s="111"/>
      <c r="M13" s="111"/>
      <c r="N13" s="111"/>
      <c r="P13" s="9" t="s">
        <v>51</v>
      </c>
    </row>
    <row r="14" spans="1:18" ht="25.2" customHeight="1" thickBot="1" x14ac:dyDescent="0.45">
      <c r="A14" s="81" t="s">
        <v>4</v>
      </c>
      <c r="B14" s="81"/>
      <c r="C14" s="81"/>
      <c r="D14" s="112" t="str">
        <f>'ĐIỀN THÔNG TIN'!F6</f>
        <v>21/06/1983</v>
      </c>
      <c r="E14" s="113"/>
      <c r="F14" s="113"/>
      <c r="G14" s="113"/>
      <c r="H14" s="81" t="s">
        <v>5</v>
      </c>
      <c r="I14" s="81"/>
      <c r="J14" s="81"/>
      <c r="K14" s="114" t="str">
        <f>'ĐIỀN THÔNG TIN'!F7</f>
        <v>0783269349</v>
      </c>
      <c r="L14" s="115"/>
      <c r="M14" s="115"/>
      <c r="N14" s="115"/>
    </row>
    <row r="15" spans="1:18" ht="27.65" customHeight="1" thickBot="1" x14ac:dyDescent="0.45">
      <c r="A15" s="82" t="s">
        <v>6</v>
      </c>
      <c r="B15" s="82"/>
      <c r="C15" s="82"/>
      <c r="D15" s="116" t="str">
        <f>'ĐIỀN THÔNG TIN'!F8</f>
        <v>97DUONG 66 P THAO DIEN Q2</v>
      </c>
      <c r="E15" s="116"/>
      <c r="F15" s="116"/>
      <c r="G15" s="116"/>
      <c r="H15" s="116"/>
      <c r="I15" s="116"/>
      <c r="J15" s="116"/>
      <c r="K15" s="116"/>
      <c r="L15" s="116"/>
      <c r="M15" s="116"/>
      <c r="N15" s="116"/>
    </row>
    <row r="16" spans="1:18" ht="30.65" customHeight="1" thickBot="1" x14ac:dyDescent="0.45">
      <c r="A16" s="76" t="s">
        <v>34</v>
      </c>
      <c r="B16" s="76"/>
      <c r="C16" s="76"/>
      <c r="D16" s="117">
        <f>'ĐIỀN THÔNG TIN'!F9</f>
        <v>0</v>
      </c>
      <c r="E16" s="116"/>
      <c r="F16" s="116"/>
      <c r="G16" s="116"/>
      <c r="H16" s="116"/>
      <c r="I16" s="116"/>
      <c r="J16" s="116"/>
      <c r="K16" s="116"/>
      <c r="L16" s="116"/>
      <c r="M16" s="116"/>
      <c r="N16" s="116"/>
    </row>
    <row r="17" spans="1:17" ht="29.5" customHeight="1" x14ac:dyDescent="0.4">
      <c r="A17" s="76" t="s">
        <v>35</v>
      </c>
      <c r="B17" s="77"/>
      <c r="C17" s="77"/>
      <c r="D17" s="78" t="s">
        <v>51</v>
      </c>
      <c r="E17" s="78"/>
      <c r="F17" s="78"/>
      <c r="G17" s="78"/>
      <c r="H17" s="78"/>
      <c r="I17" s="78"/>
      <c r="J17" s="78"/>
      <c r="K17" s="78"/>
      <c r="L17" s="78"/>
      <c r="M17" s="78"/>
      <c r="N17" s="78"/>
      <c r="Q17" s="9" t="s">
        <v>42</v>
      </c>
    </row>
    <row r="18" spans="1:17" ht="28.95" customHeight="1" thickBot="1" x14ac:dyDescent="0.45">
      <c r="A18" s="76" t="s">
        <v>8</v>
      </c>
      <c r="B18" s="76"/>
      <c r="C18" s="76"/>
      <c r="D18" s="73" t="s">
        <v>53</v>
      </c>
      <c r="E18" s="73"/>
      <c r="F18" s="73"/>
      <c r="G18" s="120" t="str">
        <f>'ĐIỀN THÔNG TIN'!F10</f>
        <v>PASSPORT</v>
      </c>
      <c r="H18" s="120"/>
      <c r="I18" s="73" t="s">
        <v>319</v>
      </c>
      <c r="J18" s="73"/>
      <c r="K18" s="121" t="str">
        <f>'ĐIỀN THÔNG TIN'!F11</f>
        <v>146171983</v>
      </c>
      <c r="L18" s="122"/>
      <c r="M18" s="122"/>
      <c r="N18" s="122"/>
      <c r="Q18" s="9" t="s">
        <v>43</v>
      </c>
    </row>
    <row r="19" spans="1:17" ht="25.2" customHeight="1" thickBot="1" x14ac:dyDescent="0.45">
      <c r="A19" s="73" t="s">
        <v>41</v>
      </c>
      <c r="B19" s="73"/>
      <c r="C19" s="30" t="str">
        <f>'ĐIỀN THÔNG TIN'!F12</f>
        <v>UNITED KINGDOM</v>
      </c>
      <c r="D19" s="81" t="s">
        <v>318</v>
      </c>
      <c r="E19" s="81"/>
      <c r="F19" s="81"/>
      <c r="G19" s="118" t="s">
        <v>51</v>
      </c>
      <c r="H19" s="118"/>
      <c r="I19" s="14" t="s">
        <v>54</v>
      </c>
      <c r="J19" s="31" t="str">
        <f>'ĐIỀN THÔNG TIN'!F13</f>
        <v>11/04/2024</v>
      </c>
      <c r="K19" s="81" t="s">
        <v>44</v>
      </c>
      <c r="L19" s="81"/>
      <c r="M19" s="89" t="str">
        <f>'ĐIỀN THÔNG TIN'!F14</f>
        <v>11/04/2034</v>
      </c>
      <c r="N19" s="119"/>
    </row>
    <row r="20" spans="1:17" ht="29.5" customHeight="1" x14ac:dyDescent="0.4">
      <c r="A20" s="76" t="s">
        <v>56</v>
      </c>
      <c r="B20" s="76"/>
      <c r="C20" s="76"/>
      <c r="D20" s="76"/>
      <c r="E20" s="76"/>
      <c r="F20" s="76"/>
      <c r="G20" s="76"/>
      <c r="H20" s="76"/>
      <c r="I20" s="76"/>
      <c r="J20" s="76"/>
      <c r="K20" s="76"/>
      <c r="L20" s="76"/>
      <c r="M20" s="76"/>
      <c r="N20" s="76"/>
    </row>
    <row r="21" spans="1:17" ht="25.2" customHeight="1" thickBot="1" x14ac:dyDescent="0.45">
      <c r="A21" s="73" t="s">
        <v>45</v>
      </c>
      <c r="B21" s="73"/>
      <c r="C21" s="32" t="str">
        <f>'ĐIỀN THÔNG TIN'!F15</f>
        <v>Du lịch / Tourists</v>
      </c>
      <c r="D21" s="73" t="s">
        <v>46</v>
      </c>
      <c r="E21" s="73"/>
      <c r="F21" s="73"/>
      <c r="G21" s="123" t="str">
        <f>'ĐIỀN THÔNG TIN'!F16</f>
        <v>F-146171983</v>
      </c>
      <c r="H21" s="123"/>
      <c r="I21" s="14" t="s">
        <v>54</v>
      </c>
      <c r="J21" s="35" t="str">
        <f>'ĐIỀN THÔNG TIN'!F17</f>
        <v>17/05/2025</v>
      </c>
      <c r="K21" s="73" t="s">
        <v>44</v>
      </c>
      <c r="L21" s="73"/>
      <c r="M21" s="124" t="str">
        <f>'ĐIỀN THÔNG TIN'!F18</f>
        <v>30/06/2025</v>
      </c>
      <c r="N21" s="123"/>
    </row>
    <row r="22" spans="1:17" ht="27.65" customHeight="1" x14ac:dyDescent="0.4">
      <c r="A22" s="82" t="s">
        <v>47</v>
      </c>
      <c r="B22" s="82"/>
      <c r="C22" s="82"/>
      <c r="D22" s="125" t="str">
        <f>'ĐIỀN THÔNG TIN'!F19</f>
        <v>Nghề tự do / Freelancer</v>
      </c>
      <c r="E22" s="125"/>
      <c r="F22" s="125"/>
      <c r="G22" s="125"/>
      <c r="H22" s="82" t="s">
        <v>48</v>
      </c>
      <c r="I22" s="82"/>
      <c r="J22" s="82"/>
      <c r="K22" s="82"/>
      <c r="L22" s="82"/>
      <c r="M22" s="82"/>
      <c r="N22" s="11"/>
      <c r="P22" s="15"/>
    </row>
    <row r="23" spans="1:17" ht="27" customHeight="1" x14ac:dyDescent="0.4">
      <c r="A23" s="76" t="s">
        <v>9</v>
      </c>
      <c r="B23" s="76"/>
      <c r="C23" s="76"/>
      <c r="D23" s="76"/>
      <c r="E23" s="76"/>
      <c r="F23" s="76"/>
      <c r="G23" s="76"/>
      <c r="H23" s="76"/>
      <c r="I23" s="76"/>
      <c r="J23" s="76"/>
      <c r="K23" s="76"/>
      <c r="L23" s="76"/>
      <c r="M23" s="76"/>
      <c r="N23" s="76"/>
    </row>
    <row r="24" spans="1:17" ht="25.95" customHeight="1" x14ac:dyDescent="0.4">
      <c r="A24" s="76" t="s">
        <v>49</v>
      </c>
      <c r="B24" s="76"/>
      <c r="C24" s="76"/>
      <c r="D24" s="126" t="str">
        <f>'ĐIỀN THÔNG TIN'!F20</f>
        <v>UNITED KINGDOM</v>
      </c>
      <c r="E24" s="126"/>
      <c r="F24" s="126"/>
      <c r="G24" s="126"/>
      <c r="H24" s="76" t="s">
        <v>320</v>
      </c>
      <c r="I24" s="76"/>
      <c r="J24" s="126" t="str">
        <f>C19</f>
        <v>UNITED KINGDOM</v>
      </c>
      <c r="K24" s="126"/>
      <c r="L24" s="126"/>
      <c r="M24" s="126"/>
      <c r="N24" s="126"/>
      <c r="P24" s="15"/>
    </row>
    <row r="25" spans="1:17" ht="42" customHeight="1" thickBot="1" x14ac:dyDescent="0.45">
      <c r="A25" s="73" t="s">
        <v>50</v>
      </c>
      <c r="B25" s="73"/>
      <c r="C25" s="73"/>
      <c r="D25" s="73"/>
      <c r="E25" s="73"/>
      <c r="F25" s="127" t="str">
        <f>'ĐIỀN THÔNG TIN'!F21</f>
        <v>Gia đình (FAMILY)</v>
      </c>
      <c r="G25" s="127"/>
      <c r="H25" s="73" t="s">
        <v>52</v>
      </c>
      <c r="I25" s="73"/>
      <c r="J25" s="73"/>
      <c r="K25" s="127" t="str">
        <f>'ĐIỀN THÔNG TIN'!F22</f>
        <v>Chi phí đi lại (TRAVEL EXPENSE)</v>
      </c>
      <c r="L25" s="127"/>
      <c r="M25" s="127"/>
      <c r="N25" s="127"/>
      <c r="P25" s="15" t="s">
        <v>51</v>
      </c>
    </row>
    <row r="26" spans="1:17" ht="4.95" customHeight="1" x14ac:dyDescent="0.4">
      <c r="A26" s="11"/>
      <c r="B26" s="11"/>
      <c r="C26" s="11"/>
      <c r="D26" s="11"/>
      <c r="E26" s="11"/>
      <c r="F26" s="11"/>
      <c r="G26" s="11"/>
      <c r="H26" s="11"/>
      <c r="I26" s="11"/>
      <c r="J26" s="11"/>
      <c r="K26" s="11"/>
      <c r="L26" s="11"/>
      <c r="M26" s="11"/>
      <c r="N26" s="11"/>
    </row>
    <row r="27" spans="1:17" x14ac:dyDescent="0.4">
      <c r="A27" s="27" t="s">
        <v>10</v>
      </c>
      <c r="B27" s="28"/>
      <c r="C27" s="28"/>
      <c r="D27" s="28"/>
      <c r="E27" s="28"/>
      <c r="F27" s="28"/>
      <c r="G27" s="28"/>
      <c r="H27" s="28"/>
      <c r="I27" s="28"/>
      <c r="J27" s="28"/>
      <c r="K27" s="28"/>
      <c r="L27" s="28"/>
      <c r="M27" s="28"/>
      <c r="N27" s="28"/>
    </row>
    <row r="28" spans="1:17" ht="26.15" thickBot="1" x14ac:dyDescent="0.45">
      <c r="A28" s="14" t="s">
        <v>3</v>
      </c>
      <c r="B28" s="109" t="str">
        <f>'ĐIỀN THÔNG TIN'!F23</f>
        <v>JAY ROBERTS</v>
      </c>
      <c r="C28" s="109"/>
      <c r="D28" s="109"/>
      <c r="E28" s="109"/>
      <c r="F28" s="109"/>
      <c r="G28" s="109"/>
      <c r="H28" s="109"/>
      <c r="I28" s="109"/>
      <c r="J28" s="109"/>
      <c r="K28" s="109"/>
      <c r="L28" s="109"/>
      <c r="M28" s="109"/>
      <c r="N28" s="109"/>
    </row>
    <row r="29" spans="1:17" x14ac:dyDescent="0.4">
      <c r="A29" s="16" t="s">
        <v>39</v>
      </c>
      <c r="B29" s="16"/>
      <c r="C29" s="16"/>
      <c r="D29" s="16"/>
      <c r="E29" s="16"/>
      <c r="F29" s="16"/>
      <c r="G29" s="16"/>
      <c r="H29" s="16"/>
      <c r="I29" s="16"/>
      <c r="J29" s="16"/>
      <c r="K29" s="16"/>
      <c r="L29" s="16"/>
      <c r="M29" s="16"/>
      <c r="N29" s="16"/>
    </row>
    <row r="30" spans="1:17" ht="20.5" customHeight="1" x14ac:dyDescent="0.4">
      <c r="A30" s="72" t="s">
        <v>11</v>
      </c>
      <c r="B30" s="72"/>
      <c r="C30" s="72"/>
      <c r="D30" s="72"/>
      <c r="E30" s="72"/>
      <c r="F30" s="72"/>
      <c r="G30" s="72"/>
      <c r="H30" s="72"/>
      <c r="I30" s="72"/>
      <c r="J30" s="72"/>
      <c r="K30" s="72"/>
      <c r="L30" s="72"/>
      <c r="M30" s="72"/>
      <c r="N30" s="72"/>
    </row>
    <row r="31" spans="1:17" ht="21" customHeight="1" x14ac:dyDescent="0.4">
      <c r="A31" s="72" t="s">
        <v>40</v>
      </c>
      <c r="B31" s="72"/>
      <c r="C31" s="72"/>
      <c r="D31" s="72"/>
      <c r="E31" s="72"/>
      <c r="F31" s="72"/>
      <c r="G31" s="72"/>
      <c r="H31" s="72"/>
      <c r="I31" s="72"/>
      <c r="J31" s="72"/>
      <c r="K31" s="72"/>
      <c r="L31" s="72"/>
      <c r="M31" s="72"/>
      <c r="N31" s="72"/>
    </row>
    <row r="32" spans="1:17" ht="24.65" customHeight="1" x14ac:dyDescent="0.4">
      <c r="A32" s="72"/>
      <c r="B32" s="72"/>
      <c r="C32" s="72"/>
      <c r="D32" s="72"/>
      <c r="E32" s="72"/>
      <c r="F32" s="72"/>
      <c r="G32" s="72"/>
      <c r="H32" s="72"/>
      <c r="I32" s="17" t="s">
        <v>15</v>
      </c>
      <c r="J32" s="62">
        <f ca="1">TODAY()</f>
        <v>45846</v>
      </c>
      <c r="K32" s="94" t="s">
        <v>14</v>
      </c>
      <c r="L32" s="94"/>
      <c r="M32" s="94"/>
      <c r="N32" s="94"/>
    </row>
    <row r="33" spans="1:16" ht="23.5" customHeight="1" x14ac:dyDescent="0.4">
      <c r="A33" s="72" t="s">
        <v>13</v>
      </c>
      <c r="B33" s="72"/>
      <c r="C33" s="72"/>
      <c r="D33" s="72"/>
      <c r="E33" s="72"/>
      <c r="F33" s="72"/>
      <c r="G33" s="72"/>
      <c r="H33" s="72"/>
      <c r="I33" s="72"/>
      <c r="J33" s="18"/>
      <c r="K33" s="18"/>
      <c r="L33" s="18"/>
      <c r="M33" s="18"/>
      <c r="N33" s="18"/>
    </row>
    <row r="34" spans="1:16" x14ac:dyDescent="0.4">
      <c r="A34" s="100" t="s">
        <v>16</v>
      </c>
      <c r="B34" s="100"/>
      <c r="C34" s="100"/>
      <c r="D34" s="100"/>
      <c r="E34" s="100"/>
      <c r="F34" s="100"/>
      <c r="G34" s="100"/>
      <c r="H34" s="100"/>
      <c r="I34" s="100"/>
      <c r="J34" s="100"/>
      <c r="K34" s="100"/>
      <c r="L34" s="100"/>
      <c r="M34" s="100"/>
      <c r="N34" s="20"/>
    </row>
    <row r="35" spans="1:16" x14ac:dyDescent="0.4">
      <c r="A35" s="21" t="s">
        <v>17</v>
      </c>
      <c r="F35" s="21" t="s">
        <v>23</v>
      </c>
    </row>
    <row r="36" spans="1:16" ht="25.95" customHeight="1" x14ac:dyDescent="0.4">
      <c r="A36" s="98" t="s">
        <v>18</v>
      </c>
      <c r="B36" s="98"/>
      <c r="C36" s="103" t="str">
        <f>D6</f>
        <v>275-145-4064</v>
      </c>
      <c r="D36" s="104"/>
      <c r="F36" s="98" t="s">
        <v>24</v>
      </c>
      <c r="G36" s="98"/>
      <c r="H36" s="101" t="str">
        <f>K18</f>
        <v>146171983</v>
      </c>
      <c r="I36" s="102"/>
      <c r="J36" s="99" t="s">
        <v>33</v>
      </c>
      <c r="K36" s="99"/>
      <c r="L36" s="99"/>
      <c r="M36" s="99"/>
      <c r="N36" s="99"/>
    </row>
    <row r="37" spans="1:16" ht="4.2" customHeight="1" x14ac:dyDescent="0.4">
      <c r="A37" s="22"/>
      <c r="B37" s="22"/>
      <c r="F37" s="19"/>
      <c r="G37" s="19"/>
      <c r="H37" s="19"/>
      <c r="J37" s="99"/>
      <c r="K37" s="99"/>
      <c r="L37" s="99"/>
      <c r="M37" s="99"/>
      <c r="N37" s="99"/>
    </row>
    <row r="38" spans="1:16" ht="27.65" customHeight="1" x14ac:dyDescent="0.4">
      <c r="A38" s="98" t="s">
        <v>19</v>
      </c>
      <c r="B38" s="98"/>
      <c r="C38" s="103">
        <f>D11</f>
        <v>156.97999999999999</v>
      </c>
      <c r="D38" s="104"/>
      <c r="F38" s="98" t="s">
        <v>25</v>
      </c>
      <c r="G38" s="98"/>
      <c r="H38" s="101" t="str">
        <f>G18</f>
        <v>PASSPORT</v>
      </c>
      <c r="I38" s="102"/>
      <c r="J38" s="99"/>
      <c r="K38" s="99"/>
      <c r="L38" s="99"/>
      <c r="M38" s="99"/>
      <c r="N38" s="99"/>
    </row>
    <row r="39" spans="1:16" ht="4.2" customHeight="1" x14ac:dyDescent="0.4">
      <c r="A39" s="22"/>
      <c r="B39" s="22"/>
      <c r="F39" s="19"/>
      <c r="G39" s="19"/>
      <c r="H39" s="19"/>
      <c r="J39" s="99"/>
      <c r="K39" s="99"/>
      <c r="L39" s="99"/>
      <c r="M39" s="99"/>
      <c r="N39" s="99"/>
    </row>
    <row r="40" spans="1:16" ht="26.5" customHeight="1" x14ac:dyDescent="0.4">
      <c r="A40" s="98" t="s">
        <v>20</v>
      </c>
      <c r="B40" s="98"/>
      <c r="C40" s="23"/>
      <c r="D40" s="24"/>
      <c r="F40" s="98" t="s">
        <v>26</v>
      </c>
      <c r="G40" s="98"/>
      <c r="H40" s="101" t="str">
        <f>C19</f>
        <v>UNITED KINGDOM</v>
      </c>
      <c r="I40" s="102"/>
      <c r="J40" s="99"/>
      <c r="K40" s="99"/>
      <c r="L40" s="99"/>
      <c r="M40" s="99"/>
      <c r="N40" s="99"/>
    </row>
    <row r="41" spans="1:16" ht="4.2" customHeight="1" x14ac:dyDescent="0.4">
      <c r="A41" s="22"/>
      <c r="B41" s="22"/>
      <c r="F41" s="19"/>
      <c r="G41" s="19"/>
      <c r="H41" s="19"/>
      <c r="J41" s="99"/>
      <c r="K41" s="99"/>
      <c r="L41" s="99"/>
      <c r="M41" s="99"/>
      <c r="N41" s="99"/>
    </row>
    <row r="42" spans="1:16" ht="27" customHeight="1" x14ac:dyDescent="0.4">
      <c r="A42" s="98" t="s">
        <v>21</v>
      </c>
      <c r="B42" s="98"/>
      <c r="C42" s="23"/>
      <c r="D42" s="24"/>
      <c r="F42" s="18" t="s">
        <v>27</v>
      </c>
      <c r="G42" s="34" t="str">
        <f>J19</f>
        <v>11/04/2024</v>
      </c>
      <c r="H42" s="22" t="s">
        <v>30</v>
      </c>
      <c r="I42" s="34" t="str">
        <f>M19</f>
        <v>11/04/2034</v>
      </c>
      <c r="J42" s="99"/>
      <c r="K42" s="99"/>
      <c r="L42" s="99"/>
      <c r="M42" s="99"/>
      <c r="N42" s="99"/>
    </row>
    <row r="43" spans="1:16" ht="26.5" customHeight="1" x14ac:dyDescent="0.4">
      <c r="A43" s="98" t="s">
        <v>22</v>
      </c>
      <c r="B43" s="98"/>
      <c r="C43" s="23"/>
      <c r="D43" s="24"/>
      <c r="F43" s="22" t="s">
        <v>28</v>
      </c>
      <c r="G43" s="25"/>
      <c r="H43" s="22" t="s">
        <v>31</v>
      </c>
      <c r="I43" s="63">
        <f ca="1">TODAY()</f>
        <v>45846</v>
      </c>
      <c r="J43" s="99"/>
      <c r="K43" s="99"/>
      <c r="L43" s="99"/>
      <c r="M43" s="99"/>
      <c r="N43" s="99"/>
    </row>
    <row r="44" spans="1:16" ht="5.25" customHeight="1" x14ac:dyDescent="0.4">
      <c r="A44" s="22"/>
      <c r="B44" s="22"/>
      <c r="F44" s="22"/>
      <c r="G44" s="22"/>
      <c r="H44" s="22"/>
      <c r="J44" s="99"/>
      <c r="K44" s="99"/>
      <c r="L44" s="99"/>
      <c r="M44" s="99"/>
      <c r="N44" s="99"/>
    </row>
    <row r="45" spans="1:16" ht="55.2" customHeight="1" x14ac:dyDescent="0.4">
      <c r="F45" s="98" t="s">
        <v>29</v>
      </c>
      <c r="G45" s="98"/>
      <c r="H45" s="22" t="s">
        <v>32</v>
      </c>
      <c r="I45" s="26"/>
      <c r="J45" s="99"/>
      <c r="K45" s="99"/>
      <c r="L45" s="99"/>
      <c r="M45" s="99"/>
      <c r="N45" s="99"/>
    </row>
    <row r="46" spans="1:16" ht="3.65" customHeight="1" x14ac:dyDescent="0.4"/>
    <row r="48" spans="1:16" x14ac:dyDescent="0.4">
      <c r="P48" s="9" t="s">
        <v>51</v>
      </c>
    </row>
  </sheetData>
  <mergeCells count="70">
    <mergeCell ref="A31:N31"/>
    <mergeCell ref="A32:H32"/>
    <mergeCell ref="K32:N32"/>
    <mergeCell ref="A33:I33"/>
    <mergeCell ref="A34:M34"/>
    <mergeCell ref="A36:B36"/>
    <mergeCell ref="C36:D36"/>
    <mergeCell ref="F36:G36"/>
    <mergeCell ref="H36:I36"/>
    <mergeCell ref="J36:N45"/>
    <mergeCell ref="A42:B42"/>
    <mergeCell ref="A43:B43"/>
    <mergeCell ref="F45:G45"/>
    <mergeCell ref="A38:B38"/>
    <mergeCell ref="C38:D38"/>
    <mergeCell ref="F38:G38"/>
    <mergeCell ref="H38:I38"/>
    <mergeCell ref="A40:B40"/>
    <mergeCell ref="F40:G40"/>
    <mergeCell ref="H40:I40"/>
    <mergeCell ref="A30:N30"/>
    <mergeCell ref="A22:C22"/>
    <mergeCell ref="D22:G22"/>
    <mergeCell ref="H22:I22"/>
    <mergeCell ref="J22:M22"/>
    <mergeCell ref="A23:N23"/>
    <mergeCell ref="A24:C24"/>
    <mergeCell ref="D24:G24"/>
    <mergeCell ref="H24:I24"/>
    <mergeCell ref="J24:N24"/>
    <mergeCell ref="A25:E25"/>
    <mergeCell ref="F25:G25"/>
    <mergeCell ref="H25:J25"/>
    <mergeCell ref="K25:N25"/>
    <mergeCell ref="B28:N28"/>
    <mergeCell ref="A20:N20"/>
    <mergeCell ref="A21:B21"/>
    <mergeCell ref="D21:F21"/>
    <mergeCell ref="G21:H21"/>
    <mergeCell ref="K21:L21"/>
    <mergeCell ref="M21:N21"/>
    <mergeCell ref="A18:C18"/>
    <mergeCell ref="D18:F18"/>
    <mergeCell ref="G18:H18"/>
    <mergeCell ref="I18:J18"/>
    <mergeCell ref="K18:N18"/>
    <mergeCell ref="A19:B19"/>
    <mergeCell ref="D19:F19"/>
    <mergeCell ref="G19:H19"/>
    <mergeCell ref="K19:L19"/>
    <mergeCell ref="M19:N19"/>
    <mergeCell ref="A15:C15"/>
    <mergeCell ref="D15:N15"/>
    <mergeCell ref="A16:C16"/>
    <mergeCell ref="D16:N16"/>
    <mergeCell ref="A17:C17"/>
    <mergeCell ref="D17:N17"/>
    <mergeCell ref="A13:B13"/>
    <mergeCell ref="C13:N13"/>
    <mergeCell ref="A14:C14"/>
    <mergeCell ref="D14:G14"/>
    <mergeCell ref="H14:J14"/>
    <mergeCell ref="K14:N14"/>
    <mergeCell ref="A11:C11"/>
    <mergeCell ref="A6:C6"/>
    <mergeCell ref="D6:N6"/>
    <mergeCell ref="A7:C7"/>
    <mergeCell ref="D7:N7"/>
    <mergeCell ref="H10:N10"/>
    <mergeCell ref="D11:L11"/>
  </mergeCells>
  <pageMargins left="0.25" right="0.25" top="0.25" bottom="0.25" header="0.3" footer="0.3"/>
  <pageSetup paperSize="9" scale="79" fitToWidth="0"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3">
    <tabColor rgb="FFFF0000"/>
  </sheetPr>
  <dimension ref="A1:I279"/>
  <sheetViews>
    <sheetView topLeftCell="A6" workbookViewId="0">
      <pane xSplit="1" topLeftCell="B1" activePane="topRight" state="frozen"/>
      <selection pane="topRight" activeCell="B15" sqref="B15"/>
    </sheetView>
  </sheetViews>
  <sheetFormatPr defaultColWidth="8.86328125" defaultRowHeight="15" x14ac:dyDescent="0.35"/>
  <cols>
    <col min="1" max="1" width="20.19921875" style="1" customWidth="1"/>
    <col min="2" max="2" width="45.86328125" style="1" customWidth="1"/>
    <col min="3" max="3" width="9.1328125" style="1" customWidth="1"/>
    <col min="4" max="4" width="13.33203125" style="1" bestFit="1" customWidth="1"/>
    <col min="5" max="5" width="20.6640625" style="1" customWidth="1"/>
    <col min="6" max="6" width="38.86328125" style="1" customWidth="1"/>
    <col min="7" max="7" width="14.86328125" style="1" customWidth="1"/>
    <col min="8" max="8" width="8.86328125" style="1"/>
    <col min="9" max="9" width="14.1328125" style="1" customWidth="1"/>
    <col min="10" max="16384" width="8.86328125" style="1"/>
  </cols>
  <sheetData>
    <row r="1" spans="1:7" x14ac:dyDescent="0.35">
      <c r="A1" s="47" t="s">
        <v>58</v>
      </c>
      <c r="B1" s="64" t="s">
        <v>415</v>
      </c>
      <c r="C1" s="45"/>
      <c r="D1" s="128" t="s">
        <v>339</v>
      </c>
      <c r="E1" s="47" t="s">
        <v>58</v>
      </c>
      <c r="F1" s="38" t="s">
        <v>465</v>
      </c>
    </row>
    <row r="2" spans="1:7" x14ac:dyDescent="0.35">
      <c r="A2" s="47" t="s">
        <v>301</v>
      </c>
      <c r="B2" s="39" t="s">
        <v>192</v>
      </c>
      <c r="C2" s="45"/>
      <c r="D2" s="129"/>
      <c r="E2" s="47" t="s">
        <v>301</v>
      </c>
      <c r="F2" s="39" t="s">
        <v>88</v>
      </c>
    </row>
    <row r="3" spans="1:7" ht="18.899999999999999" x14ac:dyDescent="0.45">
      <c r="A3" s="47" t="s">
        <v>302</v>
      </c>
      <c r="B3" s="39"/>
      <c r="C3" s="45"/>
      <c r="D3" s="129"/>
      <c r="E3" s="47" t="s">
        <v>302</v>
      </c>
      <c r="F3" s="67"/>
    </row>
    <row r="4" spans="1:7" x14ac:dyDescent="0.35">
      <c r="A4" s="47" t="s">
        <v>344</v>
      </c>
      <c r="B4" s="61">
        <v>1044.8900000000001</v>
      </c>
      <c r="C4" s="56" t="str">
        <f>IF(B4&lt;100000,"USD","VND")</f>
        <v>USD</v>
      </c>
      <c r="D4" s="129"/>
      <c r="E4" s="47" t="s">
        <v>303</v>
      </c>
      <c r="F4" s="38">
        <v>156.97999999999999</v>
      </c>
      <c r="G4" s="1" t="str">
        <f>IF(F4&lt;10000,"USD","VND")</f>
        <v>USD</v>
      </c>
    </row>
    <row r="5" spans="1:7" ht="15.75" customHeight="1" x14ac:dyDescent="0.35">
      <c r="A5" s="47" t="s">
        <v>304</v>
      </c>
      <c r="B5" s="60" t="s">
        <v>408</v>
      </c>
      <c r="C5" s="130"/>
      <c r="D5" s="129"/>
      <c r="E5" s="47" t="s">
        <v>304</v>
      </c>
      <c r="F5" s="38" t="s">
        <v>466</v>
      </c>
    </row>
    <row r="6" spans="1:7" ht="15.75" customHeight="1" x14ac:dyDescent="0.35">
      <c r="A6" s="47" t="s">
        <v>305</v>
      </c>
      <c r="B6" s="40" t="s">
        <v>409</v>
      </c>
      <c r="C6" s="130"/>
      <c r="D6" s="129"/>
      <c r="E6" s="47" t="s">
        <v>305</v>
      </c>
      <c r="F6" s="40" t="s">
        <v>467</v>
      </c>
    </row>
    <row r="7" spans="1:7" x14ac:dyDescent="0.35">
      <c r="A7" s="47" t="s">
        <v>59</v>
      </c>
      <c r="B7" s="41" t="s">
        <v>410</v>
      </c>
      <c r="C7" s="130"/>
      <c r="D7" s="129"/>
      <c r="E7" s="47" t="s">
        <v>59</v>
      </c>
      <c r="F7" s="41" t="s">
        <v>468</v>
      </c>
    </row>
    <row r="8" spans="1:7" x14ac:dyDescent="0.35">
      <c r="A8" s="47" t="s">
        <v>306</v>
      </c>
      <c r="B8" s="41" t="s">
        <v>411</v>
      </c>
      <c r="C8" s="130"/>
      <c r="D8" s="129"/>
      <c r="E8" s="47" t="s">
        <v>306</v>
      </c>
      <c r="F8" s="38" t="s">
        <v>469</v>
      </c>
    </row>
    <row r="9" spans="1:7" x14ac:dyDescent="0.35">
      <c r="A9" s="47" t="s">
        <v>307</v>
      </c>
      <c r="B9" s="38"/>
      <c r="C9" s="130"/>
      <c r="D9" s="129"/>
      <c r="E9" s="47" t="s">
        <v>307</v>
      </c>
      <c r="F9" s="38"/>
    </row>
    <row r="10" spans="1:7" x14ac:dyDescent="0.35">
      <c r="A10" s="47" t="s">
        <v>308</v>
      </c>
      <c r="B10" s="42" t="s">
        <v>57</v>
      </c>
      <c r="C10" s="130"/>
      <c r="D10" s="129"/>
      <c r="E10" s="47" t="s">
        <v>308</v>
      </c>
      <c r="F10" s="50" t="s">
        <v>321</v>
      </c>
    </row>
    <row r="11" spans="1:7" x14ac:dyDescent="0.35">
      <c r="A11" s="47" t="s">
        <v>309</v>
      </c>
      <c r="B11" s="43" t="s">
        <v>412</v>
      </c>
      <c r="C11" s="130"/>
      <c r="D11" s="129"/>
      <c r="E11" s="47" t="s">
        <v>330</v>
      </c>
      <c r="F11" s="41" t="s">
        <v>470</v>
      </c>
    </row>
    <row r="12" spans="1:7" x14ac:dyDescent="0.35">
      <c r="A12" s="47" t="s">
        <v>310</v>
      </c>
      <c r="B12" s="47" t="s">
        <v>192</v>
      </c>
      <c r="C12" s="130"/>
      <c r="D12" s="129"/>
      <c r="E12" s="47" t="s">
        <v>310</v>
      </c>
      <c r="F12" s="39" t="s">
        <v>286</v>
      </c>
    </row>
    <row r="13" spans="1:7" x14ac:dyDescent="0.35">
      <c r="A13" s="47" t="s">
        <v>316</v>
      </c>
      <c r="B13" s="41" t="s">
        <v>413</v>
      </c>
      <c r="C13" s="130"/>
      <c r="D13" s="129"/>
      <c r="E13" s="47" t="s">
        <v>316</v>
      </c>
      <c r="F13" s="41" t="s">
        <v>471</v>
      </c>
    </row>
    <row r="14" spans="1:7" x14ac:dyDescent="0.35">
      <c r="A14" s="47" t="s">
        <v>311</v>
      </c>
      <c r="B14" s="41" t="s">
        <v>414</v>
      </c>
      <c r="C14" s="130"/>
      <c r="D14" s="129"/>
      <c r="E14" s="47" t="s">
        <v>311</v>
      </c>
      <c r="F14" s="41" t="s">
        <v>472</v>
      </c>
    </row>
    <row r="15" spans="1:7" x14ac:dyDescent="0.35">
      <c r="A15" s="47" t="s">
        <v>312</v>
      </c>
      <c r="B15" s="44" t="s">
        <v>324</v>
      </c>
      <c r="C15" s="130"/>
      <c r="D15" s="129"/>
      <c r="E15" s="47" t="s">
        <v>331</v>
      </c>
      <c r="F15" s="39" t="s">
        <v>332</v>
      </c>
    </row>
    <row r="16" spans="1:7" x14ac:dyDescent="0.35">
      <c r="A16" s="47" t="s">
        <v>313</v>
      </c>
      <c r="B16" s="39" t="s">
        <v>325</v>
      </c>
      <c r="C16" s="130"/>
      <c r="D16" s="129"/>
      <c r="E16" s="47" t="s">
        <v>337</v>
      </c>
      <c r="F16" s="68" t="s">
        <v>473</v>
      </c>
    </row>
    <row r="17" spans="1:9" x14ac:dyDescent="0.35">
      <c r="A17" s="47" t="s">
        <v>314</v>
      </c>
      <c r="B17" s="39" t="s">
        <v>326</v>
      </c>
      <c r="C17" s="130"/>
      <c r="D17" s="129"/>
      <c r="E17" s="47" t="s">
        <v>335</v>
      </c>
      <c r="F17" s="40" t="s">
        <v>474</v>
      </c>
    </row>
    <row r="18" spans="1:9" x14ac:dyDescent="0.35">
      <c r="A18" s="47" t="s">
        <v>315</v>
      </c>
      <c r="B18" s="38" t="s">
        <v>408</v>
      </c>
      <c r="C18" s="130"/>
      <c r="D18" s="129"/>
      <c r="E18" s="47" t="s">
        <v>336</v>
      </c>
      <c r="F18" s="40" t="s">
        <v>475</v>
      </c>
    </row>
    <row r="19" spans="1:9" ht="15.45" thickBot="1" x14ac:dyDescent="0.4">
      <c r="A19" s="48" t="s">
        <v>327</v>
      </c>
      <c r="B19" s="65" t="s">
        <v>407</v>
      </c>
      <c r="C19" s="130"/>
      <c r="D19" s="129"/>
      <c r="E19" s="47" t="s">
        <v>312</v>
      </c>
      <c r="F19" s="44" t="s">
        <v>424</v>
      </c>
    </row>
    <row r="20" spans="1:9" ht="15.45" thickBot="1" x14ac:dyDescent="0.4">
      <c r="A20" s="49" t="s">
        <v>322</v>
      </c>
      <c r="B20" s="49" t="str">
        <f>IF(B10="CCCD","Cục cảnh sát QLHC về TTXH",IF(B10="CMND","Công an tỉnh",IF(B10="PASSPORT","Cục quản lý xuất nhập cảnh",)))</f>
        <v>Cục cảnh sát QLHC về TTXH</v>
      </c>
      <c r="C20" s="130"/>
      <c r="D20" s="129"/>
      <c r="E20" s="47" t="s">
        <v>338</v>
      </c>
      <c r="F20" s="39" t="s">
        <v>286</v>
      </c>
    </row>
    <row r="21" spans="1:9" x14ac:dyDescent="0.35">
      <c r="A21" s="45"/>
      <c r="B21" s="45"/>
      <c r="C21" s="45"/>
      <c r="D21" s="129"/>
      <c r="E21" s="47" t="s">
        <v>313</v>
      </c>
      <c r="F21" s="39" t="s">
        <v>443</v>
      </c>
    </row>
    <row r="22" spans="1:9" x14ac:dyDescent="0.35">
      <c r="A22" s="45"/>
      <c r="B22" s="45"/>
      <c r="C22" s="45"/>
      <c r="D22" s="129"/>
      <c r="E22" s="47" t="s">
        <v>314</v>
      </c>
      <c r="F22" s="39" t="s">
        <v>435</v>
      </c>
    </row>
    <row r="23" spans="1:9" x14ac:dyDescent="0.35">
      <c r="A23" s="45"/>
      <c r="B23" s="51" t="s">
        <v>328</v>
      </c>
      <c r="D23" s="129"/>
      <c r="E23" s="47" t="s">
        <v>315</v>
      </c>
      <c r="F23" s="69" t="s">
        <v>476</v>
      </c>
    </row>
    <row r="24" spans="1:9" x14ac:dyDescent="0.35">
      <c r="A24" s="45"/>
      <c r="B24" s="52" t="s">
        <v>329</v>
      </c>
      <c r="D24" s="129"/>
      <c r="E24" s="47" t="s">
        <v>327</v>
      </c>
      <c r="F24" s="40" t="s">
        <v>477</v>
      </c>
    </row>
    <row r="25" spans="1:9" x14ac:dyDescent="0.35">
      <c r="A25" s="45"/>
      <c r="B25" s="52" t="s">
        <v>329</v>
      </c>
      <c r="D25" s="129"/>
      <c r="E25" s="46"/>
      <c r="F25" s="46"/>
      <c r="I25" s="29"/>
    </row>
    <row r="26" spans="1:9" x14ac:dyDescent="0.35">
      <c r="A26" s="45"/>
      <c r="B26" s="45"/>
      <c r="C26" s="45"/>
      <c r="D26" s="129"/>
      <c r="E26" s="45"/>
      <c r="F26" s="45"/>
      <c r="I26" s="29"/>
    </row>
    <row r="27" spans="1:9" x14ac:dyDescent="0.35">
      <c r="I27" s="29"/>
    </row>
    <row r="28" spans="1:9" x14ac:dyDescent="0.35">
      <c r="I28" s="29"/>
    </row>
    <row r="29" spans="1:9" x14ac:dyDescent="0.35">
      <c r="F29" s="29"/>
      <c r="I29" s="29"/>
    </row>
    <row r="30" spans="1:9" x14ac:dyDescent="0.35">
      <c r="F30" s="29"/>
      <c r="I30" s="29"/>
    </row>
    <row r="31" spans="1:9" x14ac:dyDescent="0.35">
      <c r="F31" s="29"/>
      <c r="I31" s="29"/>
    </row>
    <row r="32" spans="1:9" x14ac:dyDescent="0.35">
      <c r="F32" s="29"/>
      <c r="I32" s="29"/>
    </row>
    <row r="33" spans="6:9" x14ac:dyDescent="0.35">
      <c r="F33" s="29"/>
      <c r="I33" s="29"/>
    </row>
    <row r="34" spans="6:9" x14ac:dyDescent="0.35">
      <c r="I34" s="29"/>
    </row>
    <row r="38" spans="6:9" ht="15.45" thickBot="1" x14ac:dyDescent="0.4"/>
    <row r="39" spans="6:9" ht="15.45" thickBot="1" x14ac:dyDescent="0.4">
      <c r="G39" s="5"/>
    </row>
    <row r="40" spans="6:9" ht="15.45" thickBot="1" x14ac:dyDescent="0.4">
      <c r="G40" s="5"/>
    </row>
    <row r="41" spans="6:9" ht="15.45" thickBot="1" x14ac:dyDescent="0.4">
      <c r="G41" s="5"/>
    </row>
    <row r="42" spans="6:9" ht="15.45" thickBot="1" x14ac:dyDescent="0.4">
      <c r="G42" s="5"/>
    </row>
    <row r="43" spans="6:9" ht="15.45" thickBot="1" x14ac:dyDescent="0.4">
      <c r="G43" s="5"/>
    </row>
    <row r="44" spans="6:9" ht="15.45" thickBot="1" x14ac:dyDescent="0.4">
      <c r="G44" s="6"/>
    </row>
    <row r="45" spans="6:9" ht="15.45" thickBot="1" x14ac:dyDescent="0.4">
      <c r="G45" s="5"/>
    </row>
    <row r="46" spans="6:9" ht="15.45" thickBot="1" x14ac:dyDescent="0.4">
      <c r="G46" s="5"/>
    </row>
    <row r="47" spans="6:9" ht="15.45" thickBot="1" x14ac:dyDescent="0.4">
      <c r="G47" s="6"/>
    </row>
    <row r="48" spans="6:9" ht="15.45" thickBot="1" x14ac:dyDescent="0.4">
      <c r="G48" s="5"/>
    </row>
    <row r="49" spans="7:7" ht="15.45" thickBot="1" x14ac:dyDescent="0.4">
      <c r="G49" s="6"/>
    </row>
    <row r="50" spans="7:7" ht="15.45" thickBot="1" x14ac:dyDescent="0.4">
      <c r="G50" s="5"/>
    </row>
    <row r="51" spans="7:7" ht="15.45" thickBot="1" x14ac:dyDescent="0.4">
      <c r="G51" s="6"/>
    </row>
    <row r="52" spans="7:7" ht="15.45" thickBot="1" x14ac:dyDescent="0.4">
      <c r="G52" s="6"/>
    </row>
    <row r="53" spans="7:7" ht="15.45" thickBot="1" x14ac:dyDescent="0.4">
      <c r="G53" s="5"/>
    </row>
    <row r="54" spans="7:7" ht="15.45" thickBot="1" x14ac:dyDescent="0.4">
      <c r="G54" s="5"/>
    </row>
    <row r="55" spans="7:7" ht="15.45" thickBot="1" x14ac:dyDescent="0.4">
      <c r="G55" s="6"/>
    </row>
    <row r="56" spans="7:7" ht="15.45" thickBot="1" x14ac:dyDescent="0.4">
      <c r="G56" s="5"/>
    </row>
    <row r="57" spans="7:7" ht="15.45" thickBot="1" x14ac:dyDescent="0.4">
      <c r="G57" s="6"/>
    </row>
    <row r="58" spans="7:7" ht="15.45" thickBot="1" x14ac:dyDescent="0.4">
      <c r="G58" s="5"/>
    </row>
    <row r="59" spans="7:7" ht="15.45" thickBot="1" x14ac:dyDescent="0.4">
      <c r="G59" s="6"/>
    </row>
    <row r="60" spans="7:7" ht="15.45" thickBot="1" x14ac:dyDescent="0.4">
      <c r="G60" s="5"/>
    </row>
    <row r="61" spans="7:7" ht="15.45" thickBot="1" x14ac:dyDescent="0.4">
      <c r="G61" s="6"/>
    </row>
    <row r="62" spans="7:7" ht="15.45" thickBot="1" x14ac:dyDescent="0.4">
      <c r="G62" s="5"/>
    </row>
    <row r="63" spans="7:7" ht="15.45" thickBot="1" x14ac:dyDescent="0.4">
      <c r="G63" s="6"/>
    </row>
    <row r="64" spans="7:7" ht="15.45" thickBot="1" x14ac:dyDescent="0.4">
      <c r="G64" s="5"/>
    </row>
    <row r="65" spans="7:7" ht="15.45" thickBot="1" x14ac:dyDescent="0.4">
      <c r="G65" s="6"/>
    </row>
    <row r="66" spans="7:7" ht="15.45" thickBot="1" x14ac:dyDescent="0.4">
      <c r="G66" s="5"/>
    </row>
    <row r="67" spans="7:7" ht="15.45" thickBot="1" x14ac:dyDescent="0.4">
      <c r="G67" s="6"/>
    </row>
    <row r="68" spans="7:7" ht="15.45" thickBot="1" x14ac:dyDescent="0.4">
      <c r="G68" s="6"/>
    </row>
    <row r="69" spans="7:7" ht="15.45" thickBot="1" x14ac:dyDescent="0.4">
      <c r="G69" s="5"/>
    </row>
    <row r="70" spans="7:7" ht="15.45" thickBot="1" x14ac:dyDescent="0.4">
      <c r="G70" s="6"/>
    </row>
    <row r="71" spans="7:7" ht="15.45" thickBot="1" x14ac:dyDescent="0.4">
      <c r="G71" s="5"/>
    </row>
    <row r="72" spans="7:7" ht="15.45" thickBot="1" x14ac:dyDescent="0.4">
      <c r="G72" s="6"/>
    </row>
    <row r="73" spans="7:7" ht="15.45" thickBot="1" x14ac:dyDescent="0.4">
      <c r="G73" s="5"/>
    </row>
    <row r="74" spans="7:7" ht="15.45" thickBot="1" x14ac:dyDescent="0.4">
      <c r="G74" s="6"/>
    </row>
    <row r="75" spans="7:7" ht="15.45" thickBot="1" x14ac:dyDescent="0.4">
      <c r="G75" s="5"/>
    </row>
    <row r="76" spans="7:7" ht="15.45" thickBot="1" x14ac:dyDescent="0.4">
      <c r="G76" s="6"/>
    </row>
    <row r="77" spans="7:7" ht="15.45" thickBot="1" x14ac:dyDescent="0.4">
      <c r="G77" s="5"/>
    </row>
    <row r="78" spans="7:7" ht="15.45" thickBot="1" x14ac:dyDescent="0.4">
      <c r="G78" s="6"/>
    </row>
    <row r="79" spans="7:7" ht="15.45" thickBot="1" x14ac:dyDescent="0.4">
      <c r="G79" s="5"/>
    </row>
    <row r="80" spans="7:7" ht="15.45" thickBot="1" x14ac:dyDescent="0.4">
      <c r="G80" s="6"/>
    </row>
    <row r="81" spans="7:7" ht="15.45" thickBot="1" x14ac:dyDescent="0.4">
      <c r="G81" s="5"/>
    </row>
    <row r="82" spans="7:7" ht="15.45" thickBot="1" x14ac:dyDescent="0.4">
      <c r="G82" s="6"/>
    </row>
    <row r="83" spans="7:7" ht="15.45" thickBot="1" x14ac:dyDescent="0.4">
      <c r="G83" s="5"/>
    </row>
    <row r="84" spans="7:7" ht="15.45" thickBot="1" x14ac:dyDescent="0.4">
      <c r="G84" s="6"/>
    </row>
    <row r="85" spans="7:7" ht="15.45" thickBot="1" x14ac:dyDescent="0.4">
      <c r="G85" s="5"/>
    </row>
    <row r="86" spans="7:7" ht="15.45" thickBot="1" x14ac:dyDescent="0.4">
      <c r="G86" s="6"/>
    </row>
    <row r="87" spans="7:7" ht="15.45" thickBot="1" x14ac:dyDescent="0.4">
      <c r="G87" s="5"/>
    </row>
    <row r="88" spans="7:7" ht="15.45" thickBot="1" x14ac:dyDescent="0.4">
      <c r="G88" s="6"/>
    </row>
    <row r="89" spans="7:7" ht="15.45" thickBot="1" x14ac:dyDescent="0.4">
      <c r="G89" s="6"/>
    </row>
    <row r="90" spans="7:7" ht="15.45" thickBot="1" x14ac:dyDescent="0.4">
      <c r="G90" s="6"/>
    </row>
    <row r="91" spans="7:7" ht="15.45" thickBot="1" x14ac:dyDescent="0.4">
      <c r="G91" s="5"/>
    </row>
    <row r="92" spans="7:7" ht="15.45" thickBot="1" x14ac:dyDescent="0.4">
      <c r="G92" s="6"/>
    </row>
    <row r="93" spans="7:7" ht="15.45" thickBot="1" x14ac:dyDescent="0.4">
      <c r="G93" s="5"/>
    </row>
    <row r="94" spans="7:7" ht="15.45" thickBot="1" x14ac:dyDescent="0.4">
      <c r="G94" s="6"/>
    </row>
    <row r="95" spans="7:7" ht="15.45" thickBot="1" x14ac:dyDescent="0.4">
      <c r="G95" s="6"/>
    </row>
    <row r="96" spans="7:7" ht="15.45" thickBot="1" x14ac:dyDescent="0.4">
      <c r="G96" s="5"/>
    </row>
    <row r="97" spans="7:7" ht="15.45" thickBot="1" x14ac:dyDescent="0.4">
      <c r="G97" s="6"/>
    </row>
    <row r="98" spans="7:7" ht="15.45" thickBot="1" x14ac:dyDescent="0.4">
      <c r="G98" s="5"/>
    </row>
    <row r="99" spans="7:7" ht="15.45" thickBot="1" x14ac:dyDescent="0.4">
      <c r="G99" s="6"/>
    </row>
    <row r="100" spans="7:7" ht="15.45" thickBot="1" x14ac:dyDescent="0.4">
      <c r="G100" s="5"/>
    </row>
    <row r="101" spans="7:7" ht="15.45" thickBot="1" x14ac:dyDescent="0.4">
      <c r="G101" s="6"/>
    </row>
    <row r="102" spans="7:7" ht="15.45" thickBot="1" x14ac:dyDescent="0.4">
      <c r="G102" s="5"/>
    </row>
    <row r="103" spans="7:7" ht="15.45" thickBot="1" x14ac:dyDescent="0.4">
      <c r="G103" s="6"/>
    </row>
    <row r="104" spans="7:7" ht="15.45" thickBot="1" x14ac:dyDescent="0.4">
      <c r="G104" s="5"/>
    </row>
    <row r="105" spans="7:7" ht="15.45" thickBot="1" x14ac:dyDescent="0.4">
      <c r="G105" s="6"/>
    </row>
    <row r="106" spans="7:7" ht="15.45" thickBot="1" x14ac:dyDescent="0.4">
      <c r="G106" s="5"/>
    </row>
    <row r="107" spans="7:7" ht="15.45" thickBot="1" x14ac:dyDescent="0.4">
      <c r="G107" s="6"/>
    </row>
    <row r="108" spans="7:7" ht="15.45" thickBot="1" x14ac:dyDescent="0.4">
      <c r="G108" s="5"/>
    </row>
    <row r="109" spans="7:7" ht="15.45" thickBot="1" x14ac:dyDescent="0.4">
      <c r="G109" s="6"/>
    </row>
    <row r="110" spans="7:7" ht="15.45" thickBot="1" x14ac:dyDescent="0.4">
      <c r="G110" s="5"/>
    </row>
    <row r="111" spans="7:7" ht="15.45" thickBot="1" x14ac:dyDescent="0.4">
      <c r="G111" s="6"/>
    </row>
    <row r="112" spans="7:7" ht="15.45" thickBot="1" x14ac:dyDescent="0.4">
      <c r="G112" s="5"/>
    </row>
    <row r="113" spans="7:7" ht="15.45" thickBot="1" x14ac:dyDescent="0.4">
      <c r="G113" s="6"/>
    </row>
    <row r="114" spans="7:7" ht="15.45" thickBot="1" x14ac:dyDescent="0.4">
      <c r="G114" s="5"/>
    </row>
    <row r="115" spans="7:7" ht="15.45" thickBot="1" x14ac:dyDescent="0.4">
      <c r="G115" s="6"/>
    </row>
    <row r="116" spans="7:7" ht="15.45" thickBot="1" x14ac:dyDescent="0.4">
      <c r="G116" s="5"/>
    </row>
    <row r="117" spans="7:7" ht="15.45" thickBot="1" x14ac:dyDescent="0.4">
      <c r="G117" s="6"/>
    </row>
    <row r="118" spans="7:7" ht="15.45" thickBot="1" x14ac:dyDescent="0.4">
      <c r="G118" s="5"/>
    </row>
    <row r="119" spans="7:7" ht="15.45" thickBot="1" x14ac:dyDescent="0.4">
      <c r="G119" s="6"/>
    </row>
    <row r="120" spans="7:7" ht="15.45" thickBot="1" x14ac:dyDescent="0.4">
      <c r="G120" s="5"/>
    </row>
    <row r="121" spans="7:7" ht="15.45" thickBot="1" x14ac:dyDescent="0.4">
      <c r="G121" s="6"/>
    </row>
    <row r="122" spans="7:7" ht="15.45" thickBot="1" x14ac:dyDescent="0.4">
      <c r="G122" s="5"/>
    </row>
    <row r="123" spans="7:7" ht="15.45" thickBot="1" x14ac:dyDescent="0.4">
      <c r="G123" s="6"/>
    </row>
    <row r="124" spans="7:7" ht="15.45" thickBot="1" x14ac:dyDescent="0.4">
      <c r="G124" s="5"/>
    </row>
    <row r="125" spans="7:7" ht="15.45" thickBot="1" x14ac:dyDescent="0.4">
      <c r="G125" s="6"/>
    </row>
    <row r="126" spans="7:7" ht="15.45" thickBot="1" x14ac:dyDescent="0.4">
      <c r="G126" s="5"/>
    </row>
    <row r="127" spans="7:7" ht="15.45" thickBot="1" x14ac:dyDescent="0.4">
      <c r="G127" s="6"/>
    </row>
    <row r="128" spans="7:7" ht="15.45" thickBot="1" x14ac:dyDescent="0.4">
      <c r="G128" s="5"/>
    </row>
    <row r="129" spans="7:7" ht="15.45" thickBot="1" x14ac:dyDescent="0.4">
      <c r="G129" s="6"/>
    </row>
    <row r="130" spans="7:7" ht="15.45" thickBot="1" x14ac:dyDescent="0.4">
      <c r="G130" s="5"/>
    </row>
    <row r="131" spans="7:7" ht="15.45" thickBot="1" x14ac:dyDescent="0.4">
      <c r="G131" s="6"/>
    </row>
    <row r="132" spans="7:7" ht="15.45" thickBot="1" x14ac:dyDescent="0.4">
      <c r="G132" s="5"/>
    </row>
    <row r="133" spans="7:7" ht="15.45" thickBot="1" x14ac:dyDescent="0.4">
      <c r="G133" s="6"/>
    </row>
    <row r="134" spans="7:7" ht="15.45" thickBot="1" x14ac:dyDescent="0.4">
      <c r="G134" s="5"/>
    </row>
    <row r="135" spans="7:7" ht="15.45" thickBot="1" x14ac:dyDescent="0.4">
      <c r="G135" s="6"/>
    </row>
    <row r="136" spans="7:7" ht="15.45" thickBot="1" x14ac:dyDescent="0.4">
      <c r="G136" s="5"/>
    </row>
    <row r="137" spans="7:7" ht="15.45" thickBot="1" x14ac:dyDescent="0.4">
      <c r="G137" s="6"/>
    </row>
    <row r="138" spans="7:7" ht="15.45" thickBot="1" x14ac:dyDescent="0.4">
      <c r="G138" s="5"/>
    </row>
    <row r="139" spans="7:7" ht="15.45" thickBot="1" x14ac:dyDescent="0.4">
      <c r="G139" s="6"/>
    </row>
    <row r="140" spans="7:7" ht="15.45" thickBot="1" x14ac:dyDescent="0.4">
      <c r="G140" s="5"/>
    </row>
    <row r="141" spans="7:7" ht="15.45" thickBot="1" x14ac:dyDescent="0.4">
      <c r="G141" s="6"/>
    </row>
    <row r="142" spans="7:7" ht="15.45" thickBot="1" x14ac:dyDescent="0.4">
      <c r="G142" s="6"/>
    </row>
    <row r="143" spans="7:7" ht="15.45" thickBot="1" x14ac:dyDescent="0.4">
      <c r="G143" s="5"/>
    </row>
    <row r="144" spans="7:7" ht="15.45" thickBot="1" x14ac:dyDescent="0.4">
      <c r="G144" s="6"/>
    </row>
    <row r="145" spans="7:7" ht="15.45" thickBot="1" x14ac:dyDescent="0.4">
      <c r="G145" s="5"/>
    </row>
    <row r="146" spans="7:7" ht="15.45" thickBot="1" x14ac:dyDescent="0.4">
      <c r="G146" s="6"/>
    </row>
    <row r="147" spans="7:7" ht="15.45" thickBot="1" x14ac:dyDescent="0.4">
      <c r="G147" s="5"/>
    </row>
    <row r="148" spans="7:7" ht="15.45" thickBot="1" x14ac:dyDescent="0.4">
      <c r="G148" s="6"/>
    </row>
    <row r="149" spans="7:7" ht="15.45" thickBot="1" x14ac:dyDescent="0.4">
      <c r="G149" s="5"/>
    </row>
    <row r="150" spans="7:7" ht="15.45" thickBot="1" x14ac:dyDescent="0.4">
      <c r="G150" s="5"/>
    </row>
    <row r="151" spans="7:7" ht="15.45" thickBot="1" x14ac:dyDescent="0.4">
      <c r="G151" s="6"/>
    </row>
    <row r="152" spans="7:7" ht="15.45" thickBot="1" x14ac:dyDescent="0.4">
      <c r="G152" s="5"/>
    </row>
    <row r="153" spans="7:7" ht="15.45" thickBot="1" x14ac:dyDescent="0.4">
      <c r="G153" s="6"/>
    </row>
    <row r="154" spans="7:7" ht="15.45" thickBot="1" x14ac:dyDescent="0.4">
      <c r="G154" s="5"/>
    </row>
    <row r="155" spans="7:7" ht="15.45" thickBot="1" x14ac:dyDescent="0.4">
      <c r="G155" s="6"/>
    </row>
    <row r="156" spans="7:7" ht="15.45" thickBot="1" x14ac:dyDescent="0.4">
      <c r="G156" s="5"/>
    </row>
    <row r="157" spans="7:7" ht="15.45" thickBot="1" x14ac:dyDescent="0.4">
      <c r="G157" s="6"/>
    </row>
    <row r="158" spans="7:7" ht="15.45" thickBot="1" x14ac:dyDescent="0.4">
      <c r="G158" s="5"/>
    </row>
    <row r="159" spans="7:7" ht="15.45" thickBot="1" x14ac:dyDescent="0.4">
      <c r="G159" s="6"/>
    </row>
    <row r="160" spans="7:7" ht="15.45" thickBot="1" x14ac:dyDescent="0.4">
      <c r="G160" s="5"/>
    </row>
    <row r="161" spans="7:7" ht="15.45" thickBot="1" x14ac:dyDescent="0.4">
      <c r="G161" s="6"/>
    </row>
    <row r="162" spans="7:7" ht="15.45" thickBot="1" x14ac:dyDescent="0.4">
      <c r="G162" s="5"/>
    </row>
    <row r="163" spans="7:7" ht="15.45" thickBot="1" x14ac:dyDescent="0.4">
      <c r="G163" s="6"/>
    </row>
    <row r="164" spans="7:7" ht="15.45" thickBot="1" x14ac:dyDescent="0.4">
      <c r="G164" s="5"/>
    </row>
    <row r="165" spans="7:7" ht="15.45" thickBot="1" x14ac:dyDescent="0.4">
      <c r="G165" s="6"/>
    </row>
    <row r="166" spans="7:7" ht="15.45" thickBot="1" x14ac:dyDescent="0.4">
      <c r="G166" s="5"/>
    </row>
    <row r="167" spans="7:7" ht="15.45" thickBot="1" x14ac:dyDescent="0.4">
      <c r="G167" s="6"/>
    </row>
    <row r="168" spans="7:7" ht="15.45" thickBot="1" x14ac:dyDescent="0.4">
      <c r="G168" s="5"/>
    </row>
    <row r="169" spans="7:7" ht="15.45" thickBot="1" x14ac:dyDescent="0.4">
      <c r="G169" s="6"/>
    </row>
    <row r="170" spans="7:7" ht="15.45" thickBot="1" x14ac:dyDescent="0.4">
      <c r="G170" s="5"/>
    </row>
    <row r="171" spans="7:7" ht="15.45" thickBot="1" x14ac:dyDescent="0.4">
      <c r="G171" s="6"/>
    </row>
    <row r="172" spans="7:7" ht="15.45" thickBot="1" x14ac:dyDescent="0.4">
      <c r="G172" s="5"/>
    </row>
    <row r="173" spans="7:7" ht="15.45" thickBot="1" x14ac:dyDescent="0.4">
      <c r="G173" s="6"/>
    </row>
    <row r="174" spans="7:7" ht="15.45" thickBot="1" x14ac:dyDescent="0.4">
      <c r="G174" s="5"/>
    </row>
    <row r="175" spans="7:7" ht="15.45" thickBot="1" x14ac:dyDescent="0.4">
      <c r="G175" s="6"/>
    </row>
    <row r="176" spans="7:7" ht="15.45" thickBot="1" x14ac:dyDescent="0.4">
      <c r="G176" s="5"/>
    </row>
    <row r="177" spans="7:7" ht="15.45" thickBot="1" x14ac:dyDescent="0.4">
      <c r="G177" s="6"/>
    </row>
    <row r="178" spans="7:7" ht="15.45" thickBot="1" x14ac:dyDescent="0.4">
      <c r="G178" s="5"/>
    </row>
    <row r="179" spans="7:7" ht="15.45" thickBot="1" x14ac:dyDescent="0.4">
      <c r="G179" s="6"/>
    </row>
    <row r="180" spans="7:7" ht="15.45" thickBot="1" x14ac:dyDescent="0.4">
      <c r="G180" s="5"/>
    </row>
    <row r="181" spans="7:7" ht="15.45" thickBot="1" x14ac:dyDescent="0.4">
      <c r="G181" s="6"/>
    </row>
    <row r="182" spans="7:7" ht="15.45" thickBot="1" x14ac:dyDescent="0.4">
      <c r="G182" s="5"/>
    </row>
    <row r="183" spans="7:7" ht="15.45" thickBot="1" x14ac:dyDescent="0.4">
      <c r="G183" s="6"/>
    </row>
    <row r="184" spans="7:7" ht="15.45" thickBot="1" x14ac:dyDescent="0.4">
      <c r="G184" s="5"/>
    </row>
    <row r="185" spans="7:7" ht="15.45" thickBot="1" x14ac:dyDescent="0.4">
      <c r="G185" s="6"/>
    </row>
    <row r="186" spans="7:7" ht="15.45" thickBot="1" x14ac:dyDescent="0.4">
      <c r="G186" s="5"/>
    </row>
    <row r="187" spans="7:7" ht="15.45" thickBot="1" x14ac:dyDescent="0.4">
      <c r="G187" s="6"/>
    </row>
    <row r="188" spans="7:7" ht="15.45" thickBot="1" x14ac:dyDescent="0.4">
      <c r="G188" s="5"/>
    </row>
    <row r="189" spans="7:7" ht="15.45" thickBot="1" x14ac:dyDescent="0.4">
      <c r="G189" s="6"/>
    </row>
    <row r="190" spans="7:7" ht="15.45" thickBot="1" x14ac:dyDescent="0.4">
      <c r="G190" s="5"/>
    </row>
    <row r="191" spans="7:7" ht="15.45" thickBot="1" x14ac:dyDescent="0.4">
      <c r="G191" s="6"/>
    </row>
    <row r="192" spans="7:7" ht="15.45" thickBot="1" x14ac:dyDescent="0.4">
      <c r="G192" s="5"/>
    </row>
    <row r="193" spans="7:7" ht="15.45" thickBot="1" x14ac:dyDescent="0.4">
      <c r="G193" s="6"/>
    </row>
    <row r="194" spans="7:7" ht="15.45" thickBot="1" x14ac:dyDescent="0.4">
      <c r="G194" s="5"/>
    </row>
    <row r="195" spans="7:7" ht="15.45" thickBot="1" x14ac:dyDescent="0.4">
      <c r="G195" s="6"/>
    </row>
    <row r="196" spans="7:7" ht="15.45" thickBot="1" x14ac:dyDescent="0.4">
      <c r="G196" s="5"/>
    </row>
    <row r="197" spans="7:7" ht="15.45" thickBot="1" x14ac:dyDescent="0.4">
      <c r="G197" s="6"/>
    </row>
    <row r="198" spans="7:7" ht="15.45" thickBot="1" x14ac:dyDescent="0.4">
      <c r="G198" s="5"/>
    </row>
    <row r="199" spans="7:7" ht="15.45" thickBot="1" x14ac:dyDescent="0.4">
      <c r="G199" s="6"/>
    </row>
    <row r="200" spans="7:7" ht="15.45" thickBot="1" x14ac:dyDescent="0.4">
      <c r="G200" s="5"/>
    </row>
    <row r="201" spans="7:7" ht="15.45" thickBot="1" x14ac:dyDescent="0.4">
      <c r="G201" s="6"/>
    </row>
    <row r="202" spans="7:7" ht="15.45" thickBot="1" x14ac:dyDescent="0.4">
      <c r="G202" s="5"/>
    </row>
    <row r="203" spans="7:7" ht="15.45" thickBot="1" x14ac:dyDescent="0.4">
      <c r="G203" s="6"/>
    </row>
    <row r="204" spans="7:7" ht="15.45" thickBot="1" x14ac:dyDescent="0.4">
      <c r="G204" s="5"/>
    </row>
    <row r="205" spans="7:7" ht="15.45" thickBot="1" x14ac:dyDescent="0.4">
      <c r="G205" s="6"/>
    </row>
    <row r="206" spans="7:7" ht="15.45" thickBot="1" x14ac:dyDescent="0.4">
      <c r="G206" s="5"/>
    </row>
    <row r="207" spans="7:7" ht="15.45" thickBot="1" x14ac:dyDescent="0.4">
      <c r="G207" s="6"/>
    </row>
    <row r="208" spans="7:7" ht="15.45" thickBot="1" x14ac:dyDescent="0.4">
      <c r="G208" s="5"/>
    </row>
    <row r="209" spans="7:7" ht="15.45" thickBot="1" x14ac:dyDescent="0.4">
      <c r="G209" s="6"/>
    </row>
    <row r="210" spans="7:7" ht="15.45" thickBot="1" x14ac:dyDescent="0.4">
      <c r="G210" s="5"/>
    </row>
    <row r="211" spans="7:7" ht="15.45" thickBot="1" x14ac:dyDescent="0.4">
      <c r="G211" s="5"/>
    </row>
    <row r="212" spans="7:7" ht="15.45" thickBot="1" x14ac:dyDescent="0.4">
      <c r="G212" s="6"/>
    </row>
    <row r="213" spans="7:7" ht="15.45" thickBot="1" x14ac:dyDescent="0.4">
      <c r="G213" s="5"/>
    </row>
    <row r="214" spans="7:7" ht="15.45" thickBot="1" x14ac:dyDescent="0.4">
      <c r="G214" s="6"/>
    </row>
    <row r="215" spans="7:7" ht="15.45" thickBot="1" x14ac:dyDescent="0.4">
      <c r="G215" s="5"/>
    </row>
    <row r="216" spans="7:7" ht="15.45" thickBot="1" x14ac:dyDescent="0.4">
      <c r="G216" s="6"/>
    </row>
    <row r="217" spans="7:7" ht="15.45" thickBot="1" x14ac:dyDescent="0.4">
      <c r="G217" s="5"/>
    </row>
    <row r="218" spans="7:7" ht="15.45" thickBot="1" x14ac:dyDescent="0.4">
      <c r="G218" s="6"/>
    </row>
    <row r="219" spans="7:7" ht="15.45" thickBot="1" x14ac:dyDescent="0.4">
      <c r="G219" s="5"/>
    </row>
    <row r="220" spans="7:7" ht="15.45" thickBot="1" x14ac:dyDescent="0.4">
      <c r="G220" s="6"/>
    </row>
    <row r="221" spans="7:7" ht="15.45" thickBot="1" x14ac:dyDescent="0.4">
      <c r="G221" s="5"/>
    </row>
    <row r="222" spans="7:7" ht="15.45" thickBot="1" x14ac:dyDescent="0.4">
      <c r="G222" s="6"/>
    </row>
    <row r="223" spans="7:7" ht="15.45" thickBot="1" x14ac:dyDescent="0.4">
      <c r="G223" s="5"/>
    </row>
    <row r="224" spans="7:7" ht="15.45" thickBot="1" x14ac:dyDescent="0.4">
      <c r="G224" s="6"/>
    </row>
    <row r="225" spans="7:7" ht="15.45" thickBot="1" x14ac:dyDescent="0.4">
      <c r="G225" s="5"/>
    </row>
    <row r="226" spans="7:7" ht="15.45" thickBot="1" x14ac:dyDescent="0.4">
      <c r="G226" s="6"/>
    </row>
    <row r="227" spans="7:7" ht="15.45" thickBot="1" x14ac:dyDescent="0.4">
      <c r="G227" s="5"/>
    </row>
    <row r="228" spans="7:7" ht="15.45" thickBot="1" x14ac:dyDescent="0.4">
      <c r="G228" s="6"/>
    </row>
    <row r="229" spans="7:7" ht="15.45" thickBot="1" x14ac:dyDescent="0.4">
      <c r="G229" s="5"/>
    </row>
    <row r="230" spans="7:7" ht="15.45" thickBot="1" x14ac:dyDescent="0.4">
      <c r="G230" s="6"/>
    </row>
    <row r="231" spans="7:7" ht="15.45" thickBot="1" x14ac:dyDescent="0.4">
      <c r="G231" s="5"/>
    </row>
    <row r="232" spans="7:7" ht="15.45" thickBot="1" x14ac:dyDescent="0.4">
      <c r="G232" s="6"/>
    </row>
    <row r="233" spans="7:7" ht="15.45" thickBot="1" x14ac:dyDescent="0.4">
      <c r="G233" s="6"/>
    </row>
    <row r="234" spans="7:7" ht="15.45" thickBot="1" x14ac:dyDescent="0.4">
      <c r="G234" s="5"/>
    </row>
    <row r="235" spans="7:7" ht="15.45" thickBot="1" x14ac:dyDescent="0.4">
      <c r="G235" s="6"/>
    </row>
    <row r="236" spans="7:7" ht="15.45" thickBot="1" x14ac:dyDescent="0.4">
      <c r="G236" s="5"/>
    </row>
    <row r="237" spans="7:7" ht="15.45" thickBot="1" x14ac:dyDescent="0.4">
      <c r="G237" s="6"/>
    </row>
    <row r="238" spans="7:7" ht="15.45" thickBot="1" x14ac:dyDescent="0.4">
      <c r="G238" s="5"/>
    </row>
    <row r="239" spans="7:7" ht="15.45" thickBot="1" x14ac:dyDescent="0.4">
      <c r="G239" s="6"/>
    </row>
    <row r="240" spans="7:7" ht="15.45" thickBot="1" x14ac:dyDescent="0.4">
      <c r="G240" s="5"/>
    </row>
    <row r="241" spans="7:7" ht="15.45" thickBot="1" x14ac:dyDescent="0.4">
      <c r="G241" s="6"/>
    </row>
    <row r="242" spans="7:7" ht="15.45" thickBot="1" x14ac:dyDescent="0.4">
      <c r="G242" s="5"/>
    </row>
    <row r="243" spans="7:7" ht="15.45" thickBot="1" x14ac:dyDescent="0.4">
      <c r="G243" s="6"/>
    </row>
    <row r="244" spans="7:7" ht="15.45" thickBot="1" x14ac:dyDescent="0.4">
      <c r="G244" s="5"/>
    </row>
    <row r="245" spans="7:7" ht="15.45" thickBot="1" x14ac:dyDescent="0.4">
      <c r="G245" s="6"/>
    </row>
    <row r="246" spans="7:7" ht="15.45" thickBot="1" x14ac:dyDescent="0.4">
      <c r="G246" s="5"/>
    </row>
    <row r="247" spans="7:7" ht="15.45" thickBot="1" x14ac:dyDescent="0.4">
      <c r="G247" s="6"/>
    </row>
    <row r="248" spans="7:7" ht="15.45" thickBot="1" x14ac:dyDescent="0.4">
      <c r="G248" s="5"/>
    </row>
    <row r="249" spans="7:7" ht="15.45" thickBot="1" x14ac:dyDescent="0.4">
      <c r="G249" s="6"/>
    </row>
    <row r="250" spans="7:7" ht="15.45" thickBot="1" x14ac:dyDescent="0.4">
      <c r="G250" s="5"/>
    </row>
    <row r="251" spans="7:7" ht="15.45" thickBot="1" x14ac:dyDescent="0.4">
      <c r="G251" s="6"/>
    </row>
    <row r="252" spans="7:7" ht="15.45" thickBot="1" x14ac:dyDescent="0.4">
      <c r="G252" s="5"/>
    </row>
    <row r="253" spans="7:7" ht="15.45" thickBot="1" x14ac:dyDescent="0.4">
      <c r="G253" s="6"/>
    </row>
    <row r="254" spans="7:7" ht="15.45" thickBot="1" x14ac:dyDescent="0.4">
      <c r="G254" s="5"/>
    </row>
    <row r="255" spans="7:7" ht="15.45" thickBot="1" x14ac:dyDescent="0.4">
      <c r="G255" s="6"/>
    </row>
    <row r="256" spans="7:7" ht="15.45" thickBot="1" x14ac:dyDescent="0.4">
      <c r="G256" s="5"/>
    </row>
    <row r="257" spans="7:7" ht="15.45" thickBot="1" x14ac:dyDescent="0.4">
      <c r="G257" s="6"/>
    </row>
    <row r="258" spans="7:7" ht="15.45" thickBot="1" x14ac:dyDescent="0.4">
      <c r="G258" s="5"/>
    </row>
    <row r="259" spans="7:7" ht="15.45" thickBot="1" x14ac:dyDescent="0.4">
      <c r="G259" s="6"/>
    </row>
    <row r="260" spans="7:7" ht="15.45" thickBot="1" x14ac:dyDescent="0.4">
      <c r="G260" s="5"/>
    </row>
    <row r="261" spans="7:7" ht="15.45" thickBot="1" x14ac:dyDescent="0.4">
      <c r="G261" s="6"/>
    </row>
    <row r="262" spans="7:7" ht="15.45" thickBot="1" x14ac:dyDescent="0.4">
      <c r="G262" s="5"/>
    </row>
    <row r="263" spans="7:7" ht="15.45" thickBot="1" x14ac:dyDescent="0.4">
      <c r="G263" s="6"/>
    </row>
    <row r="264" spans="7:7" ht="15.45" thickBot="1" x14ac:dyDescent="0.4">
      <c r="G264" s="5"/>
    </row>
    <row r="265" spans="7:7" ht="15.45" thickBot="1" x14ac:dyDescent="0.4">
      <c r="G265" s="6"/>
    </row>
    <row r="266" spans="7:7" ht="15.45" thickBot="1" x14ac:dyDescent="0.4">
      <c r="G266" s="6"/>
    </row>
    <row r="267" spans="7:7" ht="15.45" thickBot="1" x14ac:dyDescent="0.4">
      <c r="G267" s="5"/>
    </row>
    <row r="268" spans="7:7" ht="15.45" thickBot="1" x14ac:dyDescent="0.4">
      <c r="G268" s="6"/>
    </row>
    <row r="269" spans="7:7" ht="15.45" thickBot="1" x14ac:dyDescent="0.4">
      <c r="G269" s="5"/>
    </row>
    <row r="270" spans="7:7" ht="15.45" thickBot="1" x14ac:dyDescent="0.4">
      <c r="G270" s="7"/>
    </row>
    <row r="271" spans="7:7" ht="15.45" thickBot="1" x14ac:dyDescent="0.4">
      <c r="G271" s="5"/>
    </row>
    <row r="272" spans="7:7" ht="15.45" thickBot="1" x14ac:dyDescent="0.4">
      <c r="G272" s="6"/>
    </row>
    <row r="273" spans="7:7" ht="15.45" thickBot="1" x14ac:dyDescent="0.4">
      <c r="G273" s="5"/>
    </row>
    <row r="274" spans="7:7" ht="15.45" thickBot="1" x14ac:dyDescent="0.4">
      <c r="G274" s="6"/>
    </row>
    <row r="275" spans="7:7" ht="15.45" thickBot="1" x14ac:dyDescent="0.4">
      <c r="G275" s="5"/>
    </row>
    <row r="276" spans="7:7" ht="15.45" thickBot="1" x14ac:dyDescent="0.4">
      <c r="G276" s="6"/>
    </row>
    <row r="277" spans="7:7" ht="15.45" thickBot="1" x14ac:dyDescent="0.4">
      <c r="G277" s="5"/>
    </row>
    <row r="278" spans="7:7" ht="15.45" thickBot="1" x14ac:dyDescent="0.4">
      <c r="G278" s="6"/>
    </row>
    <row r="279" spans="7:7" ht="15.45" thickBot="1" x14ac:dyDescent="0.4">
      <c r="G279" s="5"/>
    </row>
  </sheetData>
  <mergeCells count="2">
    <mergeCell ref="D1:D26"/>
    <mergeCell ref="C5:C20"/>
  </mergeCells>
  <dataValidations count="4">
    <dataValidation type="list" allowBlank="1" showInputMessage="1" sqref="B2:C2" xr:uid="{00000000-0002-0000-0100-000000000000}">
      <formula1>DSCHON</formula1>
    </dataValidation>
    <dataValidation type="list" allowBlank="1" showInputMessage="1" sqref="B3" xr:uid="{00000000-0002-0000-0100-000002000000}">
      <formula1>DSCHONTIEUBANGVN</formula1>
    </dataValidation>
    <dataValidation type="list" allowBlank="1" showInputMessage="1" sqref="F2" xr:uid="{00000000-0002-0000-0100-000004000000}">
      <formula1>dschonnuocnuocngoai</formula1>
    </dataValidation>
    <dataValidation type="list" allowBlank="1" showInputMessage="1" sqref="F12" xr:uid="{00000000-0002-0000-0100-000005000000}">
      <formula1>danhsachchonnuocngoai2</formula1>
    </dataValidation>
  </dataValidations>
  <pageMargins left="0.7" right="0.7" top="0.75" bottom="0.75" header="0.3" footer="0.3"/>
  <pageSetup orientation="portrait" r:id="rId1"/>
  <drawing r:id="rId2"/>
  <extLst>
    <ext xmlns:x14="http://schemas.microsoft.com/office/spreadsheetml/2009/9/main" uri="{CCE6A557-97BC-4b89-ADB6-D9C93CAAB3DF}">
      <x14:dataValidations xmlns:xm="http://schemas.microsoft.com/office/excel/2006/main" count="6">
        <x14:dataValidation type="list" allowBlank="1" showInputMessage="1" showErrorMessage="1" xr:uid="{00000000-0002-0000-0100-000006000000}">
          <x14:formula1>
            <xm:f>nháp!$F$2:$F$18</xm:f>
          </x14:formula1>
          <xm:sqref>F19 B15</xm:sqref>
        </x14:dataValidation>
        <x14:dataValidation type="list" allowBlank="1" showInputMessage="1" showErrorMessage="1" xr:uid="{00000000-0002-0000-0100-000007000000}">
          <x14:formula1>
            <xm:f>nháp!$I$12:$I$14</xm:f>
          </x14:formula1>
          <xm:sqref>F10 B10</xm:sqref>
        </x14:dataValidation>
        <x14:dataValidation type="list" allowBlank="1" showInputMessage="1" showErrorMessage="1" xr:uid="{00000000-0002-0000-0100-000008000000}">
          <x14:formula1>
            <xm:f>nháp!$I$18:$I$20</xm:f>
          </x14:formula1>
          <xm:sqref>F22 B17</xm:sqref>
        </x14:dataValidation>
        <x14:dataValidation type="list" allowBlank="1" showInputMessage="1" showErrorMessage="1" xr:uid="{00000000-0002-0000-0100-000009000000}">
          <x14:formula1>
            <xm:f>nháp!$I$23:$I$32</xm:f>
          </x14:formula1>
          <xm:sqref>F21 B16</xm:sqref>
        </x14:dataValidation>
        <x14:dataValidation type="list" allowBlank="1" showInputMessage="1" showErrorMessage="1" xr:uid="{00000000-0002-0000-0100-00000A000000}">
          <x14:formula1>
            <xm:f>nháp!$I$5:$I$7</xm:f>
          </x14:formula1>
          <xm:sqref>F15</xm:sqref>
        </x14:dataValidation>
        <x14:dataValidation type="list" allowBlank="1" showInputMessage="1" showErrorMessage="1" xr:uid="{00000000-0002-0000-0100-00000B000000}">
          <x14:formula1>
            <xm:f>nháp!$D$2:$D$3</xm:f>
          </x14:formula1>
          <xm:sqref>C4</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F1C3DB-9B7E-450B-9B24-927EC53C97AE}">
  <sheetPr>
    <tabColor theme="9" tint="-0.249977111117893"/>
  </sheetPr>
  <dimension ref="A1:P20"/>
  <sheetViews>
    <sheetView workbookViewId="0">
      <selection activeCell="D23" sqref="D23"/>
    </sheetView>
  </sheetViews>
  <sheetFormatPr defaultRowHeight="16.3" x14ac:dyDescent="0.4"/>
  <cols>
    <col min="2" max="2" width="12" customWidth="1"/>
    <col min="9" max="9" width="8.86328125" style="70"/>
    <col min="10" max="16" width="8.86328125"/>
  </cols>
  <sheetData>
    <row r="1" spans="1:16" x14ac:dyDescent="0.4">
      <c r="A1" s="137" t="s">
        <v>462</v>
      </c>
      <c r="B1" s="138"/>
      <c r="C1" s="138"/>
      <c r="D1" s="138"/>
      <c r="E1" s="138"/>
      <c r="F1" s="139"/>
      <c r="J1" s="137" t="s">
        <v>464</v>
      </c>
      <c r="K1" s="138"/>
      <c r="L1" s="138"/>
      <c r="M1" s="138"/>
      <c r="N1" s="138"/>
      <c r="O1" s="139"/>
    </row>
    <row r="2" spans="1:16" x14ac:dyDescent="0.4">
      <c r="A2" s="131" t="s">
        <v>447</v>
      </c>
      <c r="B2" s="131"/>
      <c r="C2" s="131" t="str">
        <f>'ĐIỀN THÔNG TIN'!B1</f>
        <v>426-733-0109</v>
      </c>
      <c r="D2" s="131"/>
      <c r="E2" s="131"/>
      <c r="F2" s="131"/>
      <c r="J2" s="131" t="s">
        <v>447</v>
      </c>
      <c r="K2" s="131"/>
      <c r="L2" s="131" t="str">
        <f>'ĐIỀN THÔNG TIN'!F1</f>
        <v>275-145-4064</v>
      </c>
      <c r="M2" s="131"/>
      <c r="N2" s="131"/>
      <c r="O2" s="131"/>
    </row>
    <row r="3" spans="1:16" x14ac:dyDescent="0.4">
      <c r="A3" s="131" t="s">
        <v>448</v>
      </c>
      <c r="B3" s="131"/>
      <c r="C3" s="131" t="str">
        <f>'ĐIỀN THÔNG TIN'!B5</f>
        <v>YEOH JIA JUN</v>
      </c>
      <c r="D3" s="131"/>
      <c r="E3" s="131"/>
      <c r="F3" s="131"/>
      <c r="J3" s="131" t="s">
        <v>448</v>
      </c>
      <c r="K3" s="131"/>
      <c r="L3" s="131" t="str">
        <f>'ĐIỀN THÔNG TIN'!F5</f>
        <v>ALEX ROBERTS</v>
      </c>
      <c r="M3" s="131"/>
      <c r="N3" s="131"/>
      <c r="O3" s="131"/>
    </row>
    <row r="4" spans="1:16" x14ac:dyDescent="0.4">
      <c r="A4" s="131" t="s">
        <v>449</v>
      </c>
      <c r="B4" s="131"/>
      <c r="C4" s="140"/>
      <c r="D4" s="140"/>
      <c r="E4" s="140"/>
      <c r="F4" s="140"/>
      <c r="G4" t="s">
        <v>463</v>
      </c>
      <c r="J4" s="131" t="s">
        <v>449</v>
      </c>
      <c r="K4" s="131"/>
      <c r="L4" s="140"/>
      <c r="M4" s="140"/>
      <c r="N4" s="140"/>
      <c r="O4" s="140"/>
      <c r="P4" t="s">
        <v>463</v>
      </c>
    </row>
    <row r="5" spans="1:16" x14ac:dyDescent="0.4">
      <c r="A5" s="133" t="s">
        <v>450</v>
      </c>
      <c r="B5" s="134"/>
      <c r="C5" s="134"/>
      <c r="D5" s="134"/>
      <c r="E5" s="134"/>
      <c r="F5" s="135"/>
      <c r="J5" s="133" t="s">
        <v>450</v>
      </c>
      <c r="K5" s="134"/>
      <c r="L5" s="134"/>
      <c r="M5" s="134"/>
      <c r="N5" s="134"/>
      <c r="O5" s="135"/>
    </row>
    <row r="6" spans="1:16" x14ac:dyDescent="0.4">
      <c r="A6" s="131" t="s">
        <v>451</v>
      </c>
      <c r="B6" s="131"/>
      <c r="C6" s="132" t="str">
        <f>'ĐIỀN THÔNG TIN'!B8</f>
        <v>75/9 BINH QUOI THANH DA BINH THANH</v>
      </c>
      <c r="D6" s="131"/>
      <c r="E6" s="131"/>
      <c r="F6" s="131"/>
      <c r="J6" s="131" t="s">
        <v>451</v>
      </c>
      <c r="K6" s="131"/>
      <c r="L6" s="131" t="str">
        <f>'ĐIỀN THÔNG TIN'!F8</f>
        <v>97DUONG 66 P THAO DIEN Q2</v>
      </c>
      <c r="M6" s="131"/>
      <c r="N6" s="131"/>
      <c r="O6" s="131"/>
    </row>
    <row r="7" spans="1:16" x14ac:dyDescent="0.4">
      <c r="A7" s="131" t="s">
        <v>452</v>
      </c>
      <c r="B7" s="131"/>
      <c r="C7" s="131">
        <f>'ĐIỀN THÔNG TIN'!B9</f>
        <v>0</v>
      </c>
      <c r="D7" s="131"/>
      <c r="E7" s="131"/>
      <c r="F7" s="131"/>
      <c r="J7" s="131" t="s">
        <v>452</v>
      </c>
      <c r="K7" s="131"/>
      <c r="L7" s="131">
        <f>'ĐIỀN THÔNG TIN'!F9</f>
        <v>0</v>
      </c>
      <c r="M7" s="131"/>
      <c r="N7" s="131"/>
      <c r="O7" s="131"/>
    </row>
    <row r="8" spans="1:16" x14ac:dyDescent="0.4">
      <c r="A8" s="131" t="s">
        <v>453</v>
      </c>
      <c r="B8" s="131"/>
      <c r="C8" s="132" t="str">
        <f>'ĐIỀN THÔNG TIN'!B7</f>
        <v>0337378229</v>
      </c>
      <c r="D8" s="131"/>
      <c r="E8" s="131"/>
      <c r="F8" s="131"/>
      <c r="J8" s="131" t="s">
        <v>453</v>
      </c>
      <c r="K8" s="131"/>
      <c r="L8" s="132" t="str">
        <f>'ĐIỀN THÔNG TIN'!F7</f>
        <v>0783269349</v>
      </c>
      <c r="M8" s="131"/>
      <c r="N8" s="131"/>
      <c r="O8" s="131"/>
    </row>
    <row r="9" spans="1:16" x14ac:dyDescent="0.4">
      <c r="A9" s="133" t="s">
        <v>450</v>
      </c>
      <c r="B9" s="134"/>
      <c r="C9" s="134"/>
      <c r="D9" s="134"/>
      <c r="E9" s="134"/>
      <c r="F9" s="135"/>
      <c r="J9" s="133" t="s">
        <v>450</v>
      </c>
      <c r="K9" s="134"/>
      <c r="L9" s="134"/>
      <c r="M9" s="134"/>
      <c r="N9" s="134"/>
      <c r="O9" s="135"/>
    </row>
    <row r="10" spans="1:16" x14ac:dyDescent="0.4">
      <c r="A10" s="131" t="s">
        <v>454</v>
      </c>
      <c r="B10" s="131"/>
      <c r="C10" s="132" t="str">
        <f>'ĐIỀN THÔNG TIN'!B11</f>
        <v>A60556819</v>
      </c>
      <c r="D10" s="131"/>
      <c r="E10" s="131"/>
      <c r="F10" s="131"/>
      <c r="J10" s="131" t="s">
        <v>454</v>
      </c>
      <c r="K10" s="131"/>
      <c r="L10" s="132" t="str">
        <f>'ĐIỀN THÔNG TIN'!F11</f>
        <v>146171983</v>
      </c>
      <c r="M10" s="131"/>
      <c r="N10" s="131"/>
      <c r="O10" s="131"/>
    </row>
    <row r="11" spans="1:16" x14ac:dyDescent="0.4">
      <c r="A11" s="131" t="s">
        <v>455</v>
      </c>
      <c r="B11" s="131"/>
      <c r="C11" s="132" t="str">
        <f>'ĐIỀN THÔNG TIN'!B14</f>
        <v>19/12/2028</v>
      </c>
      <c r="D11" s="131"/>
      <c r="E11" s="131"/>
      <c r="F11" s="131"/>
      <c r="J11" s="131" t="s">
        <v>455</v>
      </c>
      <c r="K11" s="131"/>
      <c r="L11" s="132" t="str">
        <f>'ĐIỀN THÔNG TIN'!F14</f>
        <v>11/04/2034</v>
      </c>
      <c r="M11" s="131"/>
      <c r="N11" s="131"/>
      <c r="O11" s="131"/>
    </row>
    <row r="12" spans="1:16" x14ac:dyDescent="0.4">
      <c r="A12" s="131" t="s">
        <v>456</v>
      </c>
      <c r="B12" s="131"/>
      <c r="C12" s="132" t="str">
        <f>'ĐIỀN THÔNG TIN'!B13</f>
        <v>19/12/2023</v>
      </c>
      <c r="D12" s="131"/>
      <c r="E12" s="131"/>
      <c r="F12" s="131"/>
      <c r="J12" s="131" t="s">
        <v>456</v>
      </c>
      <c r="K12" s="131"/>
      <c r="L12" s="132" t="str">
        <f>'ĐIỀN THÔNG TIN'!F13</f>
        <v>11/04/2024</v>
      </c>
      <c r="M12" s="131"/>
      <c r="N12" s="131"/>
      <c r="O12" s="131"/>
    </row>
    <row r="13" spans="1:16" x14ac:dyDescent="0.4">
      <c r="A13" s="131" t="s">
        <v>457</v>
      </c>
      <c r="B13" s="131"/>
      <c r="C13" s="132" t="str">
        <f>'ĐIỀN THÔNG TIN'!B6</f>
        <v>30/08/1996</v>
      </c>
      <c r="D13" s="131"/>
      <c r="E13" s="131"/>
      <c r="F13" s="131"/>
      <c r="J13" s="131" t="s">
        <v>457</v>
      </c>
      <c r="K13" s="131"/>
      <c r="L13" s="132" t="str">
        <f>'ĐIỀN THÔNG TIN'!F6</f>
        <v>21/06/1983</v>
      </c>
      <c r="M13" s="131"/>
      <c r="N13" s="131"/>
      <c r="O13" s="131"/>
    </row>
    <row r="14" spans="1:16" x14ac:dyDescent="0.4">
      <c r="A14" s="133" t="s">
        <v>450</v>
      </c>
      <c r="B14" s="134"/>
      <c r="C14" s="134"/>
      <c r="D14" s="134"/>
      <c r="E14" s="134"/>
      <c r="F14" s="135"/>
      <c r="J14" s="133" t="s">
        <v>450</v>
      </c>
      <c r="K14" s="134"/>
      <c r="L14" s="134"/>
      <c r="M14" s="134"/>
      <c r="N14" s="134"/>
      <c r="O14" s="135"/>
    </row>
    <row r="15" spans="1:16" x14ac:dyDescent="0.4">
      <c r="A15" s="131" t="s">
        <v>458</v>
      </c>
      <c r="B15" s="131"/>
      <c r="C15" s="136" t="str">
        <f>'ĐIỀN THÔNG TIN'!B15</f>
        <v xml:space="preserve">Thất nghiệp </v>
      </c>
      <c r="D15" s="131"/>
      <c r="E15" s="131"/>
      <c r="F15" s="131"/>
      <c r="J15" s="131" t="s">
        <v>458</v>
      </c>
      <c r="K15" s="131"/>
      <c r="L15" s="136" t="str">
        <f>'ĐIỀN THÔNG TIN'!F19</f>
        <v>Nghề tự do / Freelancer</v>
      </c>
      <c r="M15" s="131"/>
      <c r="N15" s="131"/>
      <c r="O15" s="131"/>
    </row>
    <row r="16" spans="1:16" x14ac:dyDescent="0.4">
      <c r="A16" s="131" t="s">
        <v>459</v>
      </c>
      <c r="B16" s="131"/>
      <c r="C16" s="131" t="str">
        <f>'ĐIỀN THÔNG TIN'!B17</f>
        <v>Chi phí đi lại</v>
      </c>
      <c r="D16" s="131"/>
      <c r="E16" s="131"/>
      <c r="F16" s="131"/>
      <c r="J16" s="131" t="s">
        <v>459</v>
      </c>
      <c r="K16" s="131"/>
      <c r="L16" s="131" t="str">
        <f>'ĐIỀN THÔNG TIN'!F22</f>
        <v>Chi phí đi lại (TRAVEL EXPENSE)</v>
      </c>
      <c r="M16" s="131"/>
      <c r="N16" s="131"/>
      <c r="O16" s="131"/>
    </row>
    <row r="17" spans="1:15" x14ac:dyDescent="0.4">
      <c r="A17" s="133" t="s">
        <v>460</v>
      </c>
      <c r="B17" s="134"/>
      <c r="C17" s="134"/>
      <c r="D17" s="134"/>
      <c r="E17" s="134"/>
      <c r="F17" s="135"/>
      <c r="J17" s="133" t="s">
        <v>460</v>
      </c>
      <c r="K17" s="134"/>
      <c r="L17" s="134"/>
      <c r="M17" s="134"/>
      <c r="N17" s="134"/>
      <c r="O17" s="135"/>
    </row>
    <row r="18" spans="1:15" x14ac:dyDescent="0.4">
      <c r="A18" s="131" t="s">
        <v>461</v>
      </c>
      <c r="B18" s="131"/>
      <c r="C18" s="131"/>
      <c r="D18" s="131"/>
      <c r="E18" s="131"/>
      <c r="F18" s="131"/>
      <c r="J18" s="131" t="s">
        <v>461</v>
      </c>
      <c r="K18" s="131"/>
      <c r="L18" s="136" t="str">
        <f>'ĐIỀN THÔNG TIN'!F16</f>
        <v>F-146171983</v>
      </c>
      <c r="M18" s="131"/>
      <c r="N18" s="131"/>
      <c r="O18" s="131"/>
    </row>
    <row r="19" spans="1:15" x14ac:dyDescent="0.4">
      <c r="A19" s="131" t="s">
        <v>455</v>
      </c>
      <c r="B19" s="131"/>
      <c r="C19" s="131"/>
      <c r="D19" s="131"/>
      <c r="E19" s="131"/>
      <c r="F19" s="131"/>
      <c r="J19" s="131" t="s">
        <v>455</v>
      </c>
      <c r="K19" s="131"/>
      <c r="L19" s="132" t="str">
        <f>'ĐIỀN THÔNG TIN'!F18</f>
        <v>30/06/2025</v>
      </c>
      <c r="M19" s="131"/>
      <c r="N19" s="131"/>
      <c r="O19" s="131"/>
    </row>
    <row r="20" spans="1:15" x14ac:dyDescent="0.4">
      <c r="A20" s="131" t="s">
        <v>456</v>
      </c>
      <c r="B20" s="131"/>
      <c r="C20" s="131"/>
      <c r="D20" s="131"/>
      <c r="E20" s="131"/>
      <c r="F20" s="131"/>
      <c r="J20" s="131" t="s">
        <v>456</v>
      </c>
      <c r="K20" s="131"/>
      <c r="L20" s="132" t="str">
        <f>'ĐIỀN THÔNG TIN'!F17</f>
        <v>17/05/2025</v>
      </c>
      <c r="M20" s="131"/>
      <c r="N20" s="131"/>
      <c r="O20" s="131"/>
    </row>
  </sheetData>
  <mergeCells count="70">
    <mergeCell ref="A8:B8"/>
    <mergeCell ref="A10:B10"/>
    <mergeCell ref="A11:B11"/>
    <mergeCell ref="A12:B12"/>
    <mergeCell ref="A13:B13"/>
    <mergeCell ref="C19:F19"/>
    <mergeCell ref="C20:F20"/>
    <mergeCell ref="C10:F10"/>
    <mergeCell ref="C11:F11"/>
    <mergeCell ref="C12:F12"/>
    <mergeCell ref="C13:F13"/>
    <mergeCell ref="A14:F14"/>
    <mergeCell ref="A17:F17"/>
    <mergeCell ref="C15:F15"/>
    <mergeCell ref="C16:F16"/>
    <mergeCell ref="A20:B20"/>
    <mergeCell ref="A15:B15"/>
    <mergeCell ref="A16:B16"/>
    <mergeCell ref="A18:B18"/>
    <mergeCell ref="A19:B19"/>
    <mergeCell ref="J2:K2"/>
    <mergeCell ref="L2:O2"/>
    <mergeCell ref="J3:K3"/>
    <mergeCell ref="L3:O3"/>
    <mergeCell ref="C18:F18"/>
    <mergeCell ref="C2:F2"/>
    <mergeCell ref="C3:F3"/>
    <mergeCell ref="C4:F4"/>
    <mergeCell ref="C6:F6"/>
    <mergeCell ref="C7:F7"/>
    <mergeCell ref="C8:F8"/>
    <mergeCell ref="J7:K7"/>
    <mergeCell ref="L7:O7"/>
    <mergeCell ref="J15:K15"/>
    <mergeCell ref="L15:O15"/>
    <mergeCell ref="J9:O9"/>
    <mergeCell ref="A1:F1"/>
    <mergeCell ref="A5:F5"/>
    <mergeCell ref="A9:F9"/>
    <mergeCell ref="J4:K4"/>
    <mergeCell ref="L4:O4"/>
    <mergeCell ref="J5:O5"/>
    <mergeCell ref="J6:K6"/>
    <mergeCell ref="L6:O6"/>
    <mergeCell ref="A2:B2"/>
    <mergeCell ref="A3:B3"/>
    <mergeCell ref="A4:B4"/>
    <mergeCell ref="A6:B6"/>
    <mergeCell ref="A7:B7"/>
    <mergeCell ref="J1:O1"/>
    <mergeCell ref="J8:K8"/>
    <mergeCell ref="L8:O8"/>
    <mergeCell ref="J10:K10"/>
    <mergeCell ref="L10:O10"/>
    <mergeCell ref="J11:K11"/>
    <mergeCell ref="L11:O11"/>
    <mergeCell ref="J12:K12"/>
    <mergeCell ref="L12:O12"/>
    <mergeCell ref="J13:K13"/>
    <mergeCell ref="L13:O13"/>
    <mergeCell ref="J14:O14"/>
    <mergeCell ref="J20:K20"/>
    <mergeCell ref="L20:O20"/>
    <mergeCell ref="J16:K16"/>
    <mergeCell ref="L16:O16"/>
    <mergeCell ref="J17:O17"/>
    <mergeCell ref="J18:K18"/>
    <mergeCell ref="L18:O18"/>
    <mergeCell ref="J19:K19"/>
    <mergeCell ref="L19:O19"/>
  </mergeCells>
  <pageMargins left="0.7" right="0.7" top="0.75" bottom="0.75" header="0.3" footer="0.3"/>
  <pageSetup orientation="portrait" verticalDpi="0"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114A25-38AE-4A6F-B553-0CB87529ED73}">
  <sheetPr>
    <tabColor theme="5" tint="-0.249977111117893"/>
  </sheetPr>
  <dimension ref="A6:I49"/>
  <sheetViews>
    <sheetView zoomScale="142" zoomScaleNormal="142" workbookViewId="0">
      <selection activeCell="D14" sqref="D14:I15"/>
    </sheetView>
  </sheetViews>
  <sheetFormatPr defaultColWidth="8.86328125" defaultRowHeight="15.45" x14ac:dyDescent="0.4"/>
  <cols>
    <col min="1" max="2" width="8.86328125" style="71"/>
    <col min="3" max="3" width="8.6640625" style="71" customWidth="1"/>
    <col min="4" max="4" width="8.86328125" style="71"/>
    <col min="5" max="5" width="5.1328125" style="71" customWidth="1"/>
    <col min="6" max="6" width="9.53125" style="71" customWidth="1"/>
    <col min="7" max="8" width="8.86328125" style="71"/>
    <col min="9" max="9" width="9.6640625" style="71" customWidth="1"/>
    <col min="10" max="16384" width="8.86328125" style="71"/>
  </cols>
  <sheetData>
    <row r="6" spans="1:9" x14ac:dyDescent="0.4">
      <c r="A6" s="141" t="s">
        <v>478</v>
      </c>
      <c r="B6" s="142"/>
      <c r="C6" s="142"/>
      <c r="D6" s="142"/>
      <c r="E6" s="142"/>
      <c r="F6" s="142"/>
      <c r="G6" s="142"/>
      <c r="H6" s="142"/>
      <c r="I6" s="142"/>
    </row>
    <row r="7" spans="1:9" ht="30" customHeight="1" x14ac:dyDescent="0.4">
      <c r="A7" s="142"/>
      <c r="B7" s="142"/>
      <c r="C7" s="142"/>
      <c r="D7" s="142"/>
      <c r="E7" s="142"/>
      <c r="F7" s="142"/>
      <c r="G7" s="142"/>
      <c r="H7" s="142"/>
      <c r="I7" s="142"/>
    </row>
    <row r="8" spans="1:9" x14ac:dyDescent="0.4">
      <c r="A8" s="143" t="s">
        <v>479</v>
      </c>
      <c r="B8" s="143"/>
      <c r="C8" s="143"/>
      <c r="D8" s="143"/>
      <c r="E8" s="143"/>
      <c r="F8" s="143"/>
      <c r="G8" s="143"/>
      <c r="H8" s="143"/>
      <c r="I8" s="143"/>
    </row>
    <row r="9" spans="1:9" ht="12.75" customHeight="1" x14ac:dyDescent="0.4">
      <c r="A9" s="144" t="s">
        <v>480</v>
      </c>
      <c r="B9" s="145"/>
      <c r="C9" s="146"/>
      <c r="D9" s="144"/>
      <c r="E9" s="145"/>
      <c r="F9" s="145"/>
      <c r="G9" s="145"/>
      <c r="H9" s="145"/>
      <c r="I9" s="146"/>
    </row>
    <row r="10" spans="1:9" ht="9" customHeight="1" x14ac:dyDescent="0.4">
      <c r="A10" s="147" t="s">
        <v>481</v>
      </c>
      <c r="B10" s="148"/>
      <c r="C10" s="149"/>
      <c r="D10" s="150" t="str">
        <f>'ĐIỀN THÔNG TIN'!B1</f>
        <v>426-733-0109</v>
      </c>
      <c r="E10" s="151"/>
      <c r="F10" s="151"/>
      <c r="G10" s="151"/>
      <c r="H10" s="151"/>
      <c r="I10" s="152"/>
    </row>
    <row r="11" spans="1:9" ht="10.5" customHeight="1" x14ac:dyDescent="0.4">
      <c r="A11" s="156" t="s">
        <v>482</v>
      </c>
      <c r="B11" s="157"/>
      <c r="C11" s="158"/>
      <c r="D11" s="153"/>
      <c r="E11" s="154"/>
      <c r="F11" s="154"/>
      <c r="G11" s="154"/>
      <c r="H11" s="154"/>
      <c r="I11" s="155"/>
    </row>
    <row r="12" spans="1:9" ht="11.25" customHeight="1" x14ac:dyDescent="0.4">
      <c r="A12" s="147" t="s">
        <v>483</v>
      </c>
      <c r="B12" s="148"/>
      <c r="C12" s="149"/>
      <c r="D12" s="159" t="str">
        <f>'ĐIỀN THÔNG TIN'!B18</f>
        <v>YEOH JIA JUN</v>
      </c>
      <c r="E12" s="159"/>
      <c r="F12" s="159"/>
      <c r="G12" s="159"/>
      <c r="H12" s="159"/>
      <c r="I12" s="159"/>
    </row>
    <row r="13" spans="1:9" ht="9.75" customHeight="1" x14ac:dyDescent="0.4">
      <c r="A13" s="156" t="s">
        <v>484</v>
      </c>
      <c r="B13" s="157"/>
      <c r="C13" s="158"/>
      <c r="D13" s="159"/>
      <c r="E13" s="159"/>
      <c r="F13" s="159"/>
      <c r="G13" s="159"/>
      <c r="H13" s="159"/>
      <c r="I13" s="159"/>
    </row>
    <row r="14" spans="1:9" ht="9.75" customHeight="1" x14ac:dyDescent="0.4">
      <c r="A14" s="147" t="s">
        <v>485</v>
      </c>
      <c r="B14" s="148"/>
      <c r="C14" s="149"/>
      <c r="D14" s="150" t="str">
        <f>'ĐIỀN THÔNG TIN'!B2</f>
        <v>MALAYSIA</v>
      </c>
      <c r="E14" s="151"/>
      <c r="F14" s="151"/>
      <c r="G14" s="151"/>
      <c r="H14" s="151"/>
      <c r="I14" s="152"/>
    </row>
    <row r="15" spans="1:9" ht="9" customHeight="1" x14ac:dyDescent="0.4">
      <c r="A15" s="156" t="s">
        <v>486</v>
      </c>
      <c r="B15" s="157"/>
      <c r="C15" s="158"/>
      <c r="D15" s="153"/>
      <c r="E15" s="154"/>
      <c r="F15" s="154"/>
      <c r="G15" s="154"/>
      <c r="H15" s="154"/>
      <c r="I15" s="155"/>
    </row>
    <row r="16" spans="1:9" ht="12.75" customHeight="1" x14ac:dyDescent="0.4">
      <c r="A16" s="147" t="s">
        <v>487</v>
      </c>
      <c r="B16" s="148"/>
      <c r="C16" s="148"/>
      <c r="D16" s="148"/>
      <c r="E16" s="148"/>
      <c r="F16" s="149"/>
      <c r="G16" s="150">
        <f>'ĐIỀN THÔNG TIN'!B3</f>
        <v>0</v>
      </c>
      <c r="H16" s="151"/>
      <c r="I16" s="152"/>
    </row>
    <row r="17" spans="1:9" ht="10.5" customHeight="1" x14ac:dyDescent="0.4">
      <c r="A17" s="156" t="s">
        <v>488</v>
      </c>
      <c r="B17" s="157"/>
      <c r="C17" s="157"/>
      <c r="D17" s="157"/>
      <c r="E17" s="157"/>
      <c r="F17" s="158"/>
      <c r="G17" s="153"/>
      <c r="H17" s="154"/>
      <c r="I17" s="155"/>
    </row>
    <row r="18" spans="1:9" ht="10.5" customHeight="1" x14ac:dyDescent="0.4">
      <c r="A18" s="147" t="s">
        <v>489</v>
      </c>
      <c r="B18" s="148"/>
      <c r="C18" s="148"/>
      <c r="D18" s="151">
        <f>[1]ĐIỀN!B5</f>
        <v>128.30000000000001</v>
      </c>
      <c r="E18" s="151"/>
      <c r="F18" s="151"/>
      <c r="G18" s="151"/>
      <c r="H18" s="151"/>
      <c r="I18" s="152" t="str">
        <f>'ĐIỀN THÔNG TIN'!C4</f>
        <v>USD</v>
      </c>
    </row>
    <row r="19" spans="1:9" ht="9.75" customHeight="1" x14ac:dyDescent="0.4">
      <c r="A19" s="156" t="s">
        <v>490</v>
      </c>
      <c r="B19" s="157"/>
      <c r="C19" s="157"/>
      <c r="D19" s="154"/>
      <c r="E19" s="154"/>
      <c r="F19" s="154"/>
      <c r="G19" s="154"/>
      <c r="H19" s="154"/>
      <c r="I19" s="155"/>
    </row>
    <row r="20" spans="1:9" ht="12.75" customHeight="1" x14ac:dyDescent="0.4">
      <c r="A20" s="160" t="s">
        <v>491</v>
      </c>
      <c r="B20" s="161"/>
      <c r="C20" s="161"/>
      <c r="D20" s="161"/>
      <c r="E20" s="161"/>
      <c r="F20" s="161"/>
      <c r="G20" s="161"/>
      <c r="H20" s="161"/>
      <c r="I20" s="162"/>
    </row>
    <row r="21" spans="1:9" ht="12" customHeight="1" x14ac:dyDescent="0.4">
      <c r="A21" s="147" t="s">
        <v>492</v>
      </c>
      <c r="B21" s="148"/>
      <c r="C21" s="148"/>
      <c r="D21" s="150" t="str">
        <f>'ĐIỀN THÔNG TIN'!B5</f>
        <v>YEOH JIA JUN</v>
      </c>
      <c r="E21" s="151"/>
      <c r="F21" s="151"/>
      <c r="G21" s="151"/>
      <c r="H21" s="151"/>
      <c r="I21" s="152"/>
    </row>
    <row r="22" spans="1:9" ht="9.75" customHeight="1" x14ac:dyDescent="0.4">
      <c r="A22" s="156" t="s">
        <v>493</v>
      </c>
      <c r="B22" s="157"/>
      <c r="C22" s="157"/>
      <c r="D22" s="153"/>
      <c r="E22" s="154"/>
      <c r="F22" s="154"/>
      <c r="G22" s="154"/>
      <c r="H22" s="154"/>
      <c r="I22" s="155"/>
    </row>
    <row r="23" spans="1:9" ht="12" customHeight="1" x14ac:dyDescent="0.4">
      <c r="A23" s="147" t="s">
        <v>494</v>
      </c>
      <c r="B23" s="148"/>
      <c r="C23" s="163" t="str">
        <f>'ĐIỀN THÔNG TIN'!B6</f>
        <v>30/08/1996</v>
      </c>
      <c r="D23" s="152"/>
      <c r="E23" s="147" t="s">
        <v>495</v>
      </c>
      <c r="F23" s="148"/>
      <c r="G23" s="163" t="str">
        <f>'ĐIỀN THÔNG TIN'!B7</f>
        <v>0337378229</v>
      </c>
      <c r="H23" s="151"/>
      <c r="I23" s="152"/>
    </row>
    <row r="24" spans="1:9" ht="10.5" customHeight="1" x14ac:dyDescent="0.4">
      <c r="A24" s="156" t="s">
        <v>496</v>
      </c>
      <c r="B24" s="157"/>
      <c r="C24" s="154"/>
      <c r="D24" s="155"/>
      <c r="E24" s="156" t="s">
        <v>497</v>
      </c>
      <c r="F24" s="157"/>
      <c r="G24" s="154"/>
      <c r="H24" s="154"/>
      <c r="I24" s="155"/>
    </row>
    <row r="25" spans="1:9" ht="9.75" customHeight="1" x14ac:dyDescent="0.4">
      <c r="A25" s="147" t="s">
        <v>498</v>
      </c>
      <c r="B25" s="148"/>
      <c r="C25" s="149"/>
      <c r="D25" s="163" t="str">
        <f>'ĐIỀN THÔNG TIN'!B8</f>
        <v>75/9 BINH QUOI THANH DA BINH THANH</v>
      </c>
      <c r="E25" s="151"/>
      <c r="F25" s="151"/>
      <c r="G25" s="151"/>
      <c r="H25" s="151"/>
      <c r="I25" s="152"/>
    </row>
    <row r="26" spans="1:9" ht="9.75" customHeight="1" x14ac:dyDescent="0.4">
      <c r="A26" s="156" t="s">
        <v>499</v>
      </c>
      <c r="B26" s="157"/>
      <c r="C26" s="158"/>
      <c r="D26" s="154"/>
      <c r="E26" s="154"/>
      <c r="F26" s="154"/>
      <c r="G26" s="154"/>
      <c r="H26" s="154"/>
      <c r="I26" s="155"/>
    </row>
    <row r="27" spans="1:9" ht="9.75" customHeight="1" x14ac:dyDescent="0.4">
      <c r="A27" s="164" t="s">
        <v>500</v>
      </c>
      <c r="B27" s="165"/>
      <c r="C27" s="165"/>
      <c r="D27" s="165"/>
      <c r="E27" s="166"/>
      <c r="F27" s="167">
        <f>'ĐIỀN THÔNG TIN'!B9</f>
        <v>0</v>
      </c>
      <c r="G27" s="167"/>
      <c r="H27" s="167"/>
      <c r="I27" s="168"/>
    </row>
    <row r="28" spans="1:9" ht="11.25" customHeight="1" x14ac:dyDescent="0.4">
      <c r="A28" s="171" t="s">
        <v>501</v>
      </c>
      <c r="B28" s="172"/>
      <c r="C28" s="172"/>
      <c r="D28" s="172"/>
      <c r="E28" s="173"/>
      <c r="F28" s="169"/>
      <c r="G28" s="169"/>
      <c r="H28" s="169"/>
      <c r="I28" s="170"/>
    </row>
    <row r="29" spans="1:9" ht="9.75" customHeight="1" x14ac:dyDescent="0.4">
      <c r="A29" s="147" t="s">
        <v>502</v>
      </c>
      <c r="B29" s="149"/>
      <c r="C29" s="150" t="s">
        <v>57</v>
      </c>
      <c r="D29" s="152"/>
      <c r="E29" s="147" t="s">
        <v>503</v>
      </c>
      <c r="F29" s="149"/>
      <c r="G29" s="176" t="str">
        <f>'ĐIỀN THÔNG TIN'!B11</f>
        <v>A60556819</v>
      </c>
      <c r="H29" s="151"/>
      <c r="I29" s="152"/>
    </row>
    <row r="30" spans="1:9" ht="9.75" customHeight="1" x14ac:dyDescent="0.4">
      <c r="A30" s="178" t="s">
        <v>504</v>
      </c>
      <c r="B30" s="179"/>
      <c r="C30" s="174"/>
      <c r="D30" s="175"/>
      <c r="E30" s="178" t="s">
        <v>505</v>
      </c>
      <c r="F30" s="179"/>
      <c r="G30" s="174"/>
      <c r="H30" s="177"/>
      <c r="I30" s="175"/>
    </row>
    <row r="31" spans="1:9" ht="9.75" customHeight="1" x14ac:dyDescent="0.4">
      <c r="A31" s="147" t="s">
        <v>506</v>
      </c>
      <c r="B31" s="148"/>
      <c r="C31" s="163" t="str">
        <f>'ĐIỀN THÔNG TIN'!B13</f>
        <v>19/12/2023</v>
      </c>
      <c r="D31" s="152"/>
      <c r="E31" s="147" t="s">
        <v>507</v>
      </c>
      <c r="F31" s="148"/>
      <c r="G31" s="163" t="str">
        <f>'ĐIỀN THÔNG TIN'!B14</f>
        <v>19/12/2028</v>
      </c>
      <c r="H31" s="151"/>
      <c r="I31" s="152"/>
    </row>
    <row r="32" spans="1:9" ht="9.75" customHeight="1" x14ac:dyDescent="0.4">
      <c r="A32" s="156" t="s">
        <v>508</v>
      </c>
      <c r="B32" s="157"/>
      <c r="C32" s="154"/>
      <c r="D32" s="155"/>
      <c r="E32" s="156" t="s">
        <v>509</v>
      </c>
      <c r="F32" s="157"/>
      <c r="G32" s="154"/>
      <c r="H32" s="154"/>
      <c r="I32" s="155"/>
    </row>
    <row r="33" spans="1:9" ht="8.25" customHeight="1" x14ac:dyDescent="0.4">
      <c r="A33" s="147" t="s">
        <v>510</v>
      </c>
      <c r="B33" s="148"/>
      <c r="C33" s="151" t="s">
        <v>293</v>
      </c>
      <c r="D33" s="151"/>
      <c r="E33" s="147" t="s">
        <v>511</v>
      </c>
      <c r="F33" s="148"/>
      <c r="G33" s="151" t="s">
        <v>525</v>
      </c>
      <c r="H33" s="151"/>
      <c r="I33" s="152"/>
    </row>
    <row r="34" spans="1:9" ht="9" customHeight="1" x14ac:dyDescent="0.4">
      <c r="A34" s="156" t="s">
        <v>512</v>
      </c>
      <c r="B34" s="157"/>
      <c r="C34" s="154"/>
      <c r="D34" s="154"/>
      <c r="E34" s="156" t="s">
        <v>513</v>
      </c>
      <c r="F34" s="157"/>
      <c r="G34" s="154"/>
      <c r="H34" s="154"/>
      <c r="I34" s="155"/>
    </row>
    <row r="35" spans="1:9" ht="9" customHeight="1" x14ac:dyDescent="0.4">
      <c r="A35" s="147" t="s">
        <v>514</v>
      </c>
      <c r="B35" s="148"/>
      <c r="C35" s="151" t="s">
        <v>293</v>
      </c>
      <c r="D35" s="151"/>
      <c r="E35" s="147" t="s">
        <v>515</v>
      </c>
      <c r="F35" s="148"/>
      <c r="G35" s="151" t="str">
        <f>[1]ĐIỀN!B19</f>
        <v>VIET NAM</v>
      </c>
      <c r="H35" s="151"/>
      <c r="I35" s="152"/>
    </row>
    <row r="36" spans="1:9" ht="7.5" customHeight="1" x14ac:dyDescent="0.4">
      <c r="A36" s="156" t="s">
        <v>516</v>
      </c>
      <c r="B36" s="157"/>
      <c r="C36" s="154"/>
      <c r="D36" s="154"/>
      <c r="E36" s="156" t="s">
        <v>517</v>
      </c>
      <c r="F36" s="157"/>
      <c r="G36" s="154"/>
      <c r="H36" s="154"/>
      <c r="I36" s="155"/>
    </row>
    <row r="37" spans="1:9" x14ac:dyDescent="0.4">
      <c r="A37" s="148"/>
      <c r="B37" s="148"/>
      <c r="C37" s="148"/>
      <c r="D37" s="148"/>
      <c r="E37" s="148"/>
      <c r="F37" s="148"/>
      <c r="G37" s="148"/>
      <c r="H37" s="148"/>
      <c r="I37" s="148"/>
    </row>
    <row r="38" spans="1:9" x14ac:dyDescent="0.4">
      <c r="A38" s="143"/>
      <c r="B38" s="143"/>
      <c r="C38" s="143"/>
      <c r="D38" s="143"/>
      <c r="E38" s="143"/>
      <c r="F38" s="143"/>
      <c r="G38" s="143"/>
      <c r="H38" s="143"/>
      <c r="I38" s="143"/>
    </row>
    <row r="39" spans="1:9" ht="12" customHeight="1" x14ac:dyDescent="0.4">
      <c r="A39" s="186" t="s">
        <v>518</v>
      </c>
      <c r="B39" s="151"/>
      <c r="C39" s="151"/>
      <c r="D39" s="151"/>
      <c r="E39" s="152"/>
      <c r="F39" s="150" t="s">
        <v>519</v>
      </c>
      <c r="G39" s="151"/>
      <c r="H39" s="151"/>
      <c r="I39" s="152"/>
    </row>
    <row r="40" spans="1:9" x14ac:dyDescent="0.4">
      <c r="A40" s="153"/>
      <c r="B40" s="154"/>
      <c r="C40" s="154"/>
      <c r="D40" s="154"/>
      <c r="E40" s="155"/>
      <c r="F40" s="153"/>
      <c r="G40" s="154"/>
      <c r="H40" s="154"/>
      <c r="I40" s="155"/>
    </row>
    <row r="41" spans="1:9" x14ac:dyDescent="0.4">
      <c r="A41" s="187" t="s">
        <v>520</v>
      </c>
      <c r="B41" s="188"/>
      <c r="C41" s="188"/>
      <c r="D41" s="188"/>
      <c r="E41" s="189"/>
      <c r="F41" s="190" t="s">
        <v>521</v>
      </c>
      <c r="G41" s="152"/>
      <c r="H41" s="192" t="s">
        <v>522</v>
      </c>
      <c r="I41" s="149"/>
    </row>
    <row r="42" spans="1:9" x14ac:dyDescent="0.4">
      <c r="A42" s="180"/>
      <c r="B42" s="194"/>
      <c r="C42" s="194"/>
      <c r="D42" s="194"/>
      <c r="E42" s="181"/>
      <c r="F42" s="191"/>
      <c r="G42" s="155"/>
      <c r="H42" s="193"/>
      <c r="I42" s="158"/>
    </row>
    <row r="43" spans="1:9" x14ac:dyDescent="0.4">
      <c r="A43" s="182"/>
      <c r="B43" s="195"/>
      <c r="C43" s="195"/>
      <c r="D43" s="195"/>
      <c r="E43" s="183"/>
      <c r="F43" s="180" t="s">
        <v>523</v>
      </c>
      <c r="G43" s="181"/>
      <c r="H43" s="180" t="s">
        <v>524</v>
      </c>
      <c r="I43" s="181"/>
    </row>
    <row r="44" spans="1:9" x14ac:dyDescent="0.4">
      <c r="A44" s="182"/>
      <c r="B44" s="195"/>
      <c r="C44" s="195"/>
      <c r="D44" s="195"/>
      <c r="E44" s="183"/>
      <c r="F44" s="182"/>
      <c r="G44" s="183"/>
      <c r="H44" s="182"/>
      <c r="I44" s="183"/>
    </row>
    <row r="45" spans="1:9" x14ac:dyDescent="0.4">
      <c r="A45" s="182"/>
      <c r="B45" s="195"/>
      <c r="C45" s="195"/>
      <c r="D45" s="195"/>
      <c r="E45" s="183"/>
      <c r="F45" s="182"/>
      <c r="G45" s="183"/>
      <c r="H45" s="182"/>
      <c r="I45" s="183"/>
    </row>
    <row r="46" spans="1:9" x14ac:dyDescent="0.4">
      <c r="A46" s="182"/>
      <c r="B46" s="195"/>
      <c r="C46" s="195"/>
      <c r="D46" s="195"/>
      <c r="E46" s="183"/>
      <c r="F46" s="182"/>
      <c r="G46" s="183"/>
      <c r="H46" s="182"/>
      <c r="I46" s="183"/>
    </row>
    <row r="47" spans="1:9" x14ac:dyDescent="0.4">
      <c r="A47" s="182"/>
      <c r="B47" s="195"/>
      <c r="C47" s="195"/>
      <c r="D47" s="195"/>
      <c r="E47" s="183"/>
      <c r="F47" s="182"/>
      <c r="G47" s="183"/>
      <c r="H47" s="182"/>
      <c r="I47" s="183"/>
    </row>
    <row r="48" spans="1:9" x14ac:dyDescent="0.4">
      <c r="A48" s="182"/>
      <c r="B48" s="195"/>
      <c r="C48" s="195"/>
      <c r="D48" s="195"/>
      <c r="E48" s="183"/>
      <c r="F48" s="182"/>
      <c r="G48" s="183"/>
      <c r="H48" s="182"/>
      <c r="I48" s="183"/>
    </row>
    <row r="49" spans="1:9" x14ac:dyDescent="0.4">
      <c r="A49" s="184"/>
      <c r="B49" s="196"/>
      <c r="C49" s="196"/>
      <c r="D49" s="196"/>
      <c r="E49" s="185"/>
      <c r="F49" s="184"/>
      <c r="G49" s="185"/>
      <c r="H49" s="184"/>
      <c r="I49" s="185"/>
    </row>
  </sheetData>
  <sheetProtection sheet="1" objects="1" scenarios="1"/>
  <mergeCells count="73">
    <mergeCell ref="H43:I43"/>
    <mergeCell ref="F44:G49"/>
    <mergeCell ref="H44:I49"/>
    <mergeCell ref="A37:I38"/>
    <mergeCell ref="A39:E40"/>
    <mergeCell ref="F39:I40"/>
    <mergeCell ref="A41:E41"/>
    <mergeCell ref="F41:F42"/>
    <mergeCell ref="G41:G42"/>
    <mergeCell ref="H41:H42"/>
    <mergeCell ref="I41:I42"/>
    <mergeCell ref="A42:E49"/>
    <mergeCell ref="F43:G43"/>
    <mergeCell ref="A35:B35"/>
    <mergeCell ref="C35:D36"/>
    <mergeCell ref="E35:F35"/>
    <mergeCell ref="G35:I36"/>
    <mergeCell ref="A36:B36"/>
    <mergeCell ref="E36:F36"/>
    <mergeCell ref="A33:B33"/>
    <mergeCell ref="C33:D34"/>
    <mergeCell ref="E33:F33"/>
    <mergeCell ref="G33:I34"/>
    <mergeCell ref="A34:B34"/>
    <mergeCell ref="E34:F34"/>
    <mergeCell ref="A31:B31"/>
    <mergeCell ref="C31:D32"/>
    <mergeCell ref="E31:F31"/>
    <mergeCell ref="G31:I32"/>
    <mergeCell ref="A32:B32"/>
    <mergeCell ref="E32:F32"/>
    <mergeCell ref="A29:B29"/>
    <mergeCell ref="C29:D30"/>
    <mergeCell ref="E29:F29"/>
    <mergeCell ref="G29:I30"/>
    <mergeCell ref="A30:B30"/>
    <mergeCell ref="E30:F30"/>
    <mergeCell ref="A25:C25"/>
    <mergeCell ref="D25:I26"/>
    <mergeCell ref="A26:C26"/>
    <mergeCell ref="A27:E27"/>
    <mergeCell ref="F27:I28"/>
    <mergeCell ref="A28:E28"/>
    <mergeCell ref="A20:I20"/>
    <mergeCell ref="A21:C21"/>
    <mergeCell ref="D21:I22"/>
    <mergeCell ref="A22:C22"/>
    <mergeCell ref="A23:B23"/>
    <mergeCell ref="C23:D24"/>
    <mergeCell ref="E23:F23"/>
    <mergeCell ref="G23:I24"/>
    <mergeCell ref="A24:B24"/>
    <mergeCell ref="E24:F24"/>
    <mergeCell ref="A16:F16"/>
    <mergeCell ref="G16:I17"/>
    <mergeCell ref="A17:F17"/>
    <mergeCell ref="A18:C18"/>
    <mergeCell ref="D18:H19"/>
    <mergeCell ref="I18:I19"/>
    <mergeCell ref="A19:C19"/>
    <mergeCell ref="A12:C12"/>
    <mergeCell ref="D12:I13"/>
    <mergeCell ref="A13:C13"/>
    <mergeCell ref="A14:C14"/>
    <mergeCell ref="D14:I15"/>
    <mergeCell ref="A15:C15"/>
    <mergeCell ref="A6:I7"/>
    <mergeCell ref="A8:I8"/>
    <mergeCell ref="A9:C9"/>
    <mergeCell ref="D9:I9"/>
    <mergeCell ref="A10:C10"/>
    <mergeCell ref="D10:I11"/>
    <mergeCell ref="A11:C11"/>
  </mergeCells>
  <pageMargins left="1.0899999999999999" right="0.7" top="0.75" bottom="0.75" header="0.3" footer="0.3"/>
  <pageSetup scale="92" orientation="portrait"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CC7E76-8FC5-4C01-B90E-2D9EB3B20683}">
  <sheetPr>
    <tabColor theme="7" tint="-0.249977111117893"/>
  </sheetPr>
  <dimension ref="A6:I49"/>
  <sheetViews>
    <sheetView zoomScale="142" zoomScaleNormal="142" workbookViewId="0">
      <selection activeCell="A20" sqref="A20:I20"/>
    </sheetView>
  </sheetViews>
  <sheetFormatPr defaultColWidth="8.86328125" defaultRowHeight="15.45" x14ac:dyDescent="0.4"/>
  <cols>
    <col min="1" max="2" width="8.86328125" style="71"/>
    <col min="3" max="3" width="8.6640625" style="71" customWidth="1"/>
    <col min="4" max="4" width="8.86328125" style="71"/>
    <col min="5" max="5" width="5.1328125" style="71" customWidth="1"/>
    <col min="6" max="6" width="9.53125" style="71" customWidth="1"/>
    <col min="7" max="8" width="8.86328125" style="71"/>
    <col min="9" max="9" width="9.6640625" style="71" customWidth="1"/>
    <col min="10" max="16384" width="8.86328125" style="71"/>
  </cols>
  <sheetData>
    <row r="6" spans="1:9" x14ac:dyDescent="0.4">
      <c r="A6" s="141" t="s">
        <v>478</v>
      </c>
      <c r="B6" s="142"/>
      <c r="C6" s="142"/>
      <c r="D6" s="142"/>
      <c r="E6" s="142"/>
      <c r="F6" s="142"/>
      <c r="G6" s="142"/>
      <c r="H6" s="142"/>
      <c r="I6" s="142"/>
    </row>
    <row r="7" spans="1:9" ht="30" customHeight="1" x14ac:dyDescent="0.4">
      <c r="A7" s="142"/>
      <c r="B7" s="142"/>
      <c r="C7" s="142"/>
      <c r="D7" s="142"/>
      <c r="E7" s="142"/>
      <c r="F7" s="142"/>
      <c r="G7" s="142"/>
      <c r="H7" s="142"/>
      <c r="I7" s="142"/>
    </row>
    <row r="8" spans="1:9" x14ac:dyDescent="0.4">
      <c r="A8" s="143" t="s">
        <v>479</v>
      </c>
      <c r="B8" s="143"/>
      <c r="C8" s="143"/>
      <c r="D8" s="143"/>
      <c r="E8" s="143"/>
      <c r="F8" s="143"/>
      <c r="G8" s="143"/>
      <c r="H8" s="143"/>
      <c r="I8" s="143"/>
    </row>
    <row r="9" spans="1:9" ht="12.75" customHeight="1" x14ac:dyDescent="0.4">
      <c r="A9" s="144" t="s">
        <v>480</v>
      </c>
      <c r="B9" s="145"/>
      <c r="C9" s="146"/>
      <c r="D9" s="144"/>
      <c r="E9" s="145"/>
      <c r="F9" s="145"/>
      <c r="G9" s="145"/>
      <c r="H9" s="145"/>
      <c r="I9" s="146"/>
    </row>
    <row r="10" spans="1:9" ht="9" customHeight="1" x14ac:dyDescent="0.4">
      <c r="A10" s="147" t="s">
        <v>481</v>
      </c>
      <c r="B10" s="148"/>
      <c r="C10" s="149"/>
      <c r="D10" s="150" t="str">
        <f>'ĐIỀN THÔNG TIN'!F1</f>
        <v>275-145-4064</v>
      </c>
      <c r="E10" s="151"/>
      <c r="F10" s="151"/>
      <c r="G10" s="151"/>
      <c r="H10" s="151"/>
      <c r="I10" s="152"/>
    </row>
    <row r="11" spans="1:9" ht="10.5" customHeight="1" x14ac:dyDescent="0.4">
      <c r="A11" s="156" t="s">
        <v>482</v>
      </c>
      <c r="B11" s="157"/>
      <c r="C11" s="158"/>
      <c r="D11" s="153"/>
      <c r="E11" s="154"/>
      <c r="F11" s="154"/>
      <c r="G11" s="154"/>
      <c r="H11" s="154"/>
      <c r="I11" s="155"/>
    </row>
    <row r="12" spans="1:9" ht="11.25" customHeight="1" x14ac:dyDescent="0.4">
      <c r="A12" s="147" t="s">
        <v>483</v>
      </c>
      <c r="B12" s="148"/>
      <c r="C12" s="149"/>
      <c r="D12" s="159" t="str">
        <f>'ĐIỀN THÔNG TIN'!F23</f>
        <v>JAY ROBERTS</v>
      </c>
      <c r="E12" s="159"/>
      <c r="F12" s="159"/>
      <c r="G12" s="159"/>
      <c r="H12" s="159"/>
      <c r="I12" s="159"/>
    </row>
    <row r="13" spans="1:9" ht="9.75" customHeight="1" x14ac:dyDescent="0.4">
      <c r="A13" s="156" t="s">
        <v>484</v>
      </c>
      <c r="B13" s="157"/>
      <c r="C13" s="158"/>
      <c r="D13" s="159"/>
      <c r="E13" s="159"/>
      <c r="F13" s="159"/>
      <c r="G13" s="159"/>
      <c r="H13" s="159"/>
      <c r="I13" s="159"/>
    </row>
    <row r="14" spans="1:9" ht="9.75" customHeight="1" x14ac:dyDescent="0.4">
      <c r="A14" s="147" t="s">
        <v>485</v>
      </c>
      <c r="B14" s="148"/>
      <c r="C14" s="149"/>
      <c r="D14" s="150" t="str">
        <f>'ĐIỀN THÔNG TIN'!F2</f>
        <v>AUSTRALIA</v>
      </c>
      <c r="E14" s="151"/>
      <c r="F14" s="151"/>
      <c r="G14" s="151"/>
      <c r="H14" s="151"/>
      <c r="I14" s="152"/>
    </row>
    <row r="15" spans="1:9" ht="9" customHeight="1" x14ac:dyDescent="0.4">
      <c r="A15" s="156" t="s">
        <v>486</v>
      </c>
      <c r="B15" s="157"/>
      <c r="C15" s="158"/>
      <c r="D15" s="153"/>
      <c r="E15" s="154"/>
      <c r="F15" s="154"/>
      <c r="G15" s="154"/>
      <c r="H15" s="154"/>
      <c r="I15" s="155"/>
    </row>
    <row r="16" spans="1:9" ht="12.75" customHeight="1" x14ac:dyDescent="0.4">
      <c r="A16" s="147" t="s">
        <v>487</v>
      </c>
      <c r="B16" s="148"/>
      <c r="C16" s="148"/>
      <c r="D16" s="148"/>
      <c r="E16" s="148"/>
      <c r="F16" s="149"/>
      <c r="G16" s="150">
        <f>'ĐIỀN THÔNG TIN'!F3</f>
        <v>0</v>
      </c>
      <c r="H16" s="151"/>
      <c r="I16" s="152"/>
    </row>
    <row r="17" spans="1:9" ht="10.5" customHeight="1" x14ac:dyDescent="0.4">
      <c r="A17" s="156" t="s">
        <v>488</v>
      </c>
      <c r="B17" s="157"/>
      <c r="C17" s="157"/>
      <c r="D17" s="157"/>
      <c r="E17" s="157"/>
      <c r="F17" s="158"/>
      <c r="G17" s="153"/>
      <c r="H17" s="154"/>
      <c r="I17" s="155"/>
    </row>
    <row r="18" spans="1:9" ht="10.5" customHeight="1" x14ac:dyDescent="0.4">
      <c r="A18" s="147" t="s">
        <v>489</v>
      </c>
      <c r="B18" s="148"/>
      <c r="C18" s="148"/>
      <c r="D18" s="151">
        <f>'ĐIỀN THÔNG TIN'!F4</f>
        <v>156.97999999999999</v>
      </c>
      <c r="E18" s="151"/>
      <c r="F18" s="151"/>
      <c r="G18" s="151"/>
      <c r="H18" s="151"/>
      <c r="I18" s="152" t="str">
        <f>'ĐIỀN THÔNG TIN'!G4</f>
        <v>USD</v>
      </c>
    </row>
    <row r="19" spans="1:9" ht="9.75" customHeight="1" x14ac:dyDescent="0.4">
      <c r="A19" s="156" t="s">
        <v>490</v>
      </c>
      <c r="B19" s="157"/>
      <c r="C19" s="157"/>
      <c r="D19" s="154"/>
      <c r="E19" s="154"/>
      <c r="F19" s="154"/>
      <c r="G19" s="154"/>
      <c r="H19" s="154"/>
      <c r="I19" s="155"/>
    </row>
    <row r="20" spans="1:9" ht="12.75" customHeight="1" x14ac:dyDescent="0.4">
      <c r="A20" s="160" t="s">
        <v>491</v>
      </c>
      <c r="B20" s="161"/>
      <c r="C20" s="161"/>
      <c r="D20" s="161"/>
      <c r="E20" s="161"/>
      <c r="F20" s="161"/>
      <c r="G20" s="161"/>
      <c r="H20" s="161"/>
      <c r="I20" s="162"/>
    </row>
    <row r="21" spans="1:9" ht="12" customHeight="1" x14ac:dyDescent="0.4">
      <c r="A21" s="147" t="s">
        <v>492</v>
      </c>
      <c r="B21" s="148"/>
      <c r="C21" s="148"/>
      <c r="D21" s="150" t="str">
        <f>'ĐIỀN THÔNG TIN'!F5</f>
        <v>ALEX ROBERTS</v>
      </c>
      <c r="E21" s="151"/>
      <c r="F21" s="151"/>
      <c r="G21" s="151"/>
      <c r="H21" s="151"/>
      <c r="I21" s="152"/>
    </row>
    <row r="22" spans="1:9" ht="9.75" customHeight="1" x14ac:dyDescent="0.4">
      <c r="A22" s="156" t="s">
        <v>493</v>
      </c>
      <c r="B22" s="157"/>
      <c r="C22" s="157"/>
      <c r="D22" s="153"/>
      <c r="E22" s="154"/>
      <c r="F22" s="154"/>
      <c r="G22" s="154"/>
      <c r="H22" s="154"/>
      <c r="I22" s="155"/>
    </row>
    <row r="23" spans="1:9" ht="12" customHeight="1" x14ac:dyDescent="0.4">
      <c r="A23" s="147" t="s">
        <v>494</v>
      </c>
      <c r="B23" s="148"/>
      <c r="C23" s="151" t="str">
        <f>'ĐIỀN THÔNG TIN'!F6</f>
        <v>21/06/1983</v>
      </c>
      <c r="D23" s="152"/>
      <c r="E23" s="147" t="s">
        <v>495</v>
      </c>
      <c r="F23" s="148"/>
      <c r="G23" s="163" t="str">
        <f>'ĐIỀN THÔNG TIN'!F7</f>
        <v>0783269349</v>
      </c>
      <c r="H23" s="151"/>
      <c r="I23" s="152"/>
    </row>
    <row r="24" spans="1:9" ht="10.5" customHeight="1" x14ac:dyDescent="0.4">
      <c r="A24" s="156" t="s">
        <v>496</v>
      </c>
      <c r="B24" s="157"/>
      <c r="C24" s="154"/>
      <c r="D24" s="155"/>
      <c r="E24" s="156" t="s">
        <v>497</v>
      </c>
      <c r="F24" s="157"/>
      <c r="G24" s="154"/>
      <c r="H24" s="154"/>
      <c r="I24" s="155"/>
    </row>
    <row r="25" spans="1:9" ht="9.75" customHeight="1" x14ac:dyDescent="0.4">
      <c r="A25" s="147" t="s">
        <v>498</v>
      </c>
      <c r="B25" s="148"/>
      <c r="C25" s="149"/>
      <c r="D25" s="151" t="str">
        <f>'ĐIỀN THÔNG TIN'!F8</f>
        <v>97DUONG 66 P THAO DIEN Q2</v>
      </c>
      <c r="E25" s="151"/>
      <c r="F25" s="151"/>
      <c r="G25" s="151"/>
      <c r="H25" s="151"/>
      <c r="I25" s="152"/>
    </row>
    <row r="26" spans="1:9" ht="9.75" customHeight="1" x14ac:dyDescent="0.4">
      <c r="A26" s="156" t="s">
        <v>499</v>
      </c>
      <c r="B26" s="157"/>
      <c r="C26" s="158"/>
      <c r="D26" s="154"/>
      <c r="E26" s="154"/>
      <c r="F26" s="154"/>
      <c r="G26" s="154"/>
      <c r="H26" s="154"/>
      <c r="I26" s="155"/>
    </row>
    <row r="27" spans="1:9" ht="9.75" customHeight="1" x14ac:dyDescent="0.4">
      <c r="A27" s="164" t="s">
        <v>500</v>
      </c>
      <c r="B27" s="165"/>
      <c r="C27" s="165"/>
      <c r="D27" s="165"/>
      <c r="E27" s="166"/>
      <c r="F27" s="167">
        <f>'ĐIỀN THÔNG TIN'!F9</f>
        <v>0</v>
      </c>
      <c r="G27" s="167"/>
      <c r="H27" s="167"/>
      <c r="I27" s="168"/>
    </row>
    <row r="28" spans="1:9" ht="11.25" customHeight="1" x14ac:dyDescent="0.4">
      <c r="A28" s="171" t="s">
        <v>501</v>
      </c>
      <c r="B28" s="172"/>
      <c r="C28" s="172"/>
      <c r="D28" s="172"/>
      <c r="E28" s="173"/>
      <c r="F28" s="169"/>
      <c r="G28" s="169"/>
      <c r="H28" s="169"/>
      <c r="I28" s="170"/>
    </row>
    <row r="29" spans="1:9" ht="9.75" customHeight="1" x14ac:dyDescent="0.4">
      <c r="A29" s="147" t="s">
        <v>502</v>
      </c>
      <c r="B29" s="149"/>
      <c r="C29" s="150" t="s">
        <v>321</v>
      </c>
      <c r="D29" s="152"/>
      <c r="E29" s="147" t="s">
        <v>503</v>
      </c>
      <c r="F29" s="149"/>
      <c r="G29" s="176" t="str">
        <f>'ĐIỀN THÔNG TIN'!F11</f>
        <v>146171983</v>
      </c>
      <c r="H29" s="151"/>
      <c r="I29" s="152"/>
    </row>
    <row r="30" spans="1:9" ht="9.75" customHeight="1" x14ac:dyDescent="0.4">
      <c r="A30" s="178" t="s">
        <v>504</v>
      </c>
      <c r="B30" s="179"/>
      <c r="C30" s="174"/>
      <c r="D30" s="175"/>
      <c r="E30" s="178" t="s">
        <v>505</v>
      </c>
      <c r="F30" s="179"/>
      <c r="G30" s="174"/>
      <c r="H30" s="177"/>
      <c r="I30" s="175"/>
    </row>
    <row r="31" spans="1:9" ht="9.75" customHeight="1" x14ac:dyDescent="0.4">
      <c r="A31" s="147" t="s">
        <v>506</v>
      </c>
      <c r="B31" s="148"/>
      <c r="C31" s="163" t="str">
        <f>'ĐIỀN THÔNG TIN'!F13</f>
        <v>11/04/2024</v>
      </c>
      <c r="D31" s="152"/>
      <c r="E31" s="147" t="s">
        <v>507</v>
      </c>
      <c r="F31" s="148"/>
      <c r="G31" s="163" t="str">
        <f>'ĐIỀN THÔNG TIN'!F18</f>
        <v>30/06/2025</v>
      </c>
      <c r="H31" s="151"/>
      <c r="I31" s="152"/>
    </row>
    <row r="32" spans="1:9" ht="9.75" customHeight="1" x14ac:dyDescent="0.4">
      <c r="A32" s="156" t="s">
        <v>508</v>
      </c>
      <c r="B32" s="157"/>
      <c r="C32" s="154"/>
      <c r="D32" s="155"/>
      <c r="E32" s="156" t="s">
        <v>509</v>
      </c>
      <c r="F32" s="157"/>
      <c r="G32" s="154"/>
      <c r="H32" s="154"/>
      <c r="I32" s="155"/>
    </row>
    <row r="33" spans="1:9" ht="8.25" customHeight="1" x14ac:dyDescent="0.4">
      <c r="A33" s="147" t="s">
        <v>510</v>
      </c>
      <c r="B33" s="148"/>
      <c r="C33" s="151" t="str">
        <f>'ĐIỀN THÔNG TIN'!F12</f>
        <v>UNITED KINGDOM</v>
      </c>
      <c r="D33" s="151"/>
      <c r="E33" s="147" t="s">
        <v>511</v>
      </c>
      <c r="F33" s="148"/>
      <c r="G33" s="151" t="str">
        <f>C33</f>
        <v>UNITED KINGDOM</v>
      </c>
      <c r="H33" s="151"/>
      <c r="I33" s="152"/>
    </row>
    <row r="34" spans="1:9" ht="9" customHeight="1" x14ac:dyDescent="0.4">
      <c r="A34" s="156" t="s">
        <v>512</v>
      </c>
      <c r="B34" s="157"/>
      <c r="C34" s="154"/>
      <c r="D34" s="154"/>
      <c r="E34" s="156" t="s">
        <v>513</v>
      </c>
      <c r="F34" s="157"/>
      <c r="G34" s="154"/>
      <c r="H34" s="154"/>
      <c r="I34" s="155"/>
    </row>
    <row r="35" spans="1:9" ht="9" customHeight="1" x14ac:dyDescent="0.4">
      <c r="A35" s="147" t="s">
        <v>514</v>
      </c>
      <c r="B35" s="148"/>
      <c r="C35" s="151" t="str">
        <f>'ĐIỀN THÔNG TIN'!F20</f>
        <v>UNITED KINGDOM</v>
      </c>
      <c r="D35" s="151"/>
      <c r="E35" s="147" t="s">
        <v>515</v>
      </c>
      <c r="F35" s="148"/>
      <c r="G35" s="151" t="str">
        <f>C33</f>
        <v>UNITED KINGDOM</v>
      </c>
      <c r="H35" s="151"/>
      <c r="I35" s="152"/>
    </row>
    <row r="36" spans="1:9" ht="7.5" customHeight="1" x14ac:dyDescent="0.4">
      <c r="A36" s="156" t="s">
        <v>516</v>
      </c>
      <c r="B36" s="157"/>
      <c r="C36" s="154"/>
      <c r="D36" s="154"/>
      <c r="E36" s="156" t="s">
        <v>517</v>
      </c>
      <c r="F36" s="157"/>
      <c r="G36" s="154"/>
      <c r="H36" s="154"/>
      <c r="I36" s="155"/>
    </row>
    <row r="37" spans="1:9" x14ac:dyDescent="0.4">
      <c r="A37" s="148"/>
      <c r="B37" s="148"/>
      <c r="C37" s="148"/>
      <c r="D37" s="148"/>
      <c r="E37" s="148"/>
      <c r="F37" s="148"/>
      <c r="G37" s="148"/>
      <c r="H37" s="148"/>
      <c r="I37" s="148"/>
    </row>
    <row r="38" spans="1:9" x14ac:dyDescent="0.4">
      <c r="A38" s="143"/>
      <c r="B38" s="143"/>
      <c r="C38" s="143"/>
      <c r="D38" s="143"/>
      <c r="E38" s="143"/>
      <c r="F38" s="143"/>
      <c r="G38" s="143"/>
      <c r="H38" s="143"/>
      <c r="I38" s="143"/>
    </row>
    <row r="39" spans="1:9" ht="12" customHeight="1" x14ac:dyDescent="0.4">
      <c r="A39" s="186" t="s">
        <v>518</v>
      </c>
      <c r="B39" s="151"/>
      <c r="C39" s="151"/>
      <c r="D39" s="151"/>
      <c r="E39" s="152"/>
      <c r="F39" s="150" t="s">
        <v>519</v>
      </c>
      <c r="G39" s="151"/>
      <c r="H39" s="151"/>
      <c r="I39" s="152"/>
    </row>
    <row r="40" spans="1:9" x14ac:dyDescent="0.4">
      <c r="A40" s="153"/>
      <c r="B40" s="154"/>
      <c r="C40" s="154"/>
      <c r="D40" s="154"/>
      <c r="E40" s="155"/>
      <c r="F40" s="153"/>
      <c r="G40" s="154"/>
      <c r="H40" s="154"/>
      <c r="I40" s="155"/>
    </row>
    <row r="41" spans="1:9" x14ac:dyDescent="0.4">
      <c r="A41" s="187" t="s">
        <v>520</v>
      </c>
      <c r="B41" s="188"/>
      <c r="C41" s="188"/>
      <c r="D41" s="188"/>
      <c r="E41" s="189"/>
      <c r="F41" s="190" t="s">
        <v>521</v>
      </c>
      <c r="G41" s="152"/>
      <c r="H41" s="192" t="s">
        <v>522</v>
      </c>
      <c r="I41" s="149"/>
    </row>
    <row r="42" spans="1:9" x14ac:dyDescent="0.4">
      <c r="A42" s="180"/>
      <c r="B42" s="194"/>
      <c r="C42" s="194"/>
      <c r="D42" s="194"/>
      <c r="E42" s="181"/>
      <c r="F42" s="191"/>
      <c r="G42" s="155"/>
      <c r="H42" s="193"/>
      <c r="I42" s="158"/>
    </row>
    <row r="43" spans="1:9" x14ac:dyDescent="0.4">
      <c r="A43" s="182"/>
      <c r="B43" s="195"/>
      <c r="C43" s="195"/>
      <c r="D43" s="195"/>
      <c r="E43" s="183"/>
      <c r="F43" s="180" t="s">
        <v>523</v>
      </c>
      <c r="G43" s="181"/>
      <c r="H43" s="180" t="s">
        <v>524</v>
      </c>
      <c r="I43" s="181"/>
    </row>
    <row r="44" spans="1:9" x14ac:dyDescent="0.4">
      <c r="A44" s="182"/>
      <c r="B44" s="195"/>
      <c r="C44" s="195"/>
      <c r="D44" s="195"/>
      <c r="E44" s="183"/>
      <c r="F44" s="182"/>
      <c r="G44" s="183"/>
      <c r="H44" s="182"/>
      <c r="I44" s="183"/>
    </row>
    <row r="45" spans="1:9" x14ac:dyDescent="0.4">
      <c r="A45" s="182"/>
      <c r="B45" s="195"/>
      <c r="C45" s="195"/>
      <c r="D45" s="195"/>
      <c r="E45" s="183"/>
      <c r="F45" s="182"/>
      <c r="G45" s="183"/>
      <c r="H45" s="182"/>
      <c r="I45" s="183"/>
    </row>
    <row r="46" spans="1:9" x14ac:dyDescent="0.4">
      <c r="A46" s="182"/>
      <c r="B46" s="195"/>
      <c r="C46" s="195"/>
      <c r="D46" s="195"/>
      <c r="E46" s="183"/>
      <c r="F46" s="182"/>
      <c r="G46" s="183"/>
      <c r="H46" s="182"/>
      <c r="I46" s="183"/>
    </row>
    <row r="47" spans="1:9" x14ac:dyDescent="0.4">
      <c r="A47" s="182"/>
      <c r="B47" s="195"/>
      <c r="C47" s="195"/>
      <c r="D47" s="195"/>
      <c r="E47" s="183"/>
      <c r="F47" s="182"/>
      <c r="G47" s="183"/>
      <c r="H47" s="182"/>
      <c r="I47" s="183"/>
    </row>
    <row r="48" spans="1:9" x14ac:dyDescent="0.4">
      <c r="A48" s="182"/>
      <c r="B48" s="195"/>
      <c r="C48" s="195"/>
      <c r="D48" s="195"/>
      <c r="E48" s="183"/>
      <c r="F48" s="182"/>
      <c r="G48" s="183"/>
      <c r="H48" s="182"/>
      <c r="I48" s="183"/>
    </row>
    <row r="49" spans="1:9" x14ac:dyDescent="0.4">
      <c r="A49" s="184"/>
      <c r="B49" s="196"/>
      <c r="C49" s="196"/>
      <c r="D49" s="196"/>
      <c r="E49" s="185"/>
      <c r="F49" s="184"/>
      <c r="G49" s="185"/>
      <c r="H49" s="184"/>
      <c r="I49" s="185"/>
    </row>
  </sheetData>
  <sheetProtection sheet="1" objects="1" scenarios="1"/>
  <mergeCells count="73">
    <mergeCell ref="H43:I43"/>
    <mergeCell ref="F44:G49"/>
    <mergeCell ref="H44:I49"/>
    <mergeCell ref="A37:I38"/>
    <mergeCell ref="A39:E40"/>
    <mergeCell ref="F39:I40"/>
    <mergeCell ref="A41:E41"/>
    <mergeCell ref="F41:F42"/>
    <mergeCell ref="G41:G42"/>
    <mergeCell ref="H41:H42"/>
    <mergeCell ref="I41:I42"/>
    <mergeCell ref="A42:E49"/>
    <mergeCell ref="F43:G43"/>
    <mergeCell ref="A35:B35"/>
    <mergeCell ref="C35:D36"/>
    <mergeCell ref="E35:F35"/>
    <mergeCell ref="G35:I36"/>
    <mergeCell ref="A36:B36"/>
    <mergeCell ref="E36:F36"/>
    <mergeCell ref="A33:B33"/>
    <mergeCell ref="C33:D34"/>
    <mergeCell ref="E33:F33"/>
    <mergeCell ref="G33:I34"/>
    <mergeCell ref="A34:B34"/>
    <mergeCell ref="E34:F34"/>
    <mergeCell ref="A31:B31"/>
    <mergeCell ref="C31:D32"/>
    <mergeCell ref="E31:F31"/>
    <mergeCell ref="G31:I32"/>
    <mergeCell ref="A32:B32"/>
    <mergeCell ref="E32:F32"/>
    <mergeCell ref="A29:B29"/>
    <mergeCell ref="C29:D30"/>
    <mergeCell ref="E29:F29"/>
    <mergeCell ref="G29:I30"/>
    <mergeCell ref="A30:B30"/>
    <mergeCell ref="E30:F30"/>
    <mergeCell ref="A25:C25"/>
    <mergeCell ref="D25:I26"/>
    <mergeCell ref="A26:C26"/>
    <mergeCell ref="A27:E27"/>
    <mergeCell ref="F27:I28"/>
    <mergeCell ref="A28:E28"/>
    <mergeCell ref="A20:I20"/>
    <mergeCell ref="A21:C21"/>
    <mergeCell ref="D21:I22"/>
    <mergeCell ref="A22:C22"/>
    <mergeCell ref="A23:B23"/>
    <mergeCell ref="C23:D24"/>
    <mergeCell ref="E23:F23"/>
    <mergeCell ref="G23:I24"/>
    <mergeCell ref="A24:B24"/>
    <mergeCell ref="E24:F24"/>
    <mergeCell ref="A16:F16"/>
    <mergeCell ref="G16:I17"/>
    <mergeCell ref="A17:F17"/>
    <mergeCell ref="A18:C18"/>
    <mergeCell ref="D18:H19"/>
    <mergeCell ref="I18:I19"/>
    <mergeCell ref="A19:C19"/>
    <mergeCell ref="A12:C12"/>
    <mergeCell ref="D12:I13"/>
    <mergeCell ref="A13:C13"/>
    <mergeCell ref="A14:C14"/>
    <mergeCell ref="D14:I15"/>
    <mergeCell ref="A15:C15"/>
    <mergeCell ref="A6:I7"/>
    <mergeCell ref="A8:I8"/>
    <mergeCell ref="A9:C9"/>
    <mergeCell ref="D9:I9"/>
    <mergeCell ref="A10:C10"/>
    <mergeCell ref="D10:I11"/>
    <mergeCell ref="A11:C11"/>
  </mergeCells>
  <pageMargins left="1.0899999999999999" right="0.7" top="0.75" bottom="0.75" header="0.3" footer="0.3"/>
  <pageSetup scale="92" orientation="portrait" r:id="rId1"/>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dimension ref="A1:L243"/>
  <sheetViews>
    <sheetView topLeftCell="C1" workbookViewId="0">
      <selection activeCell="K1" sqref="K1"/>
    </sheetView>
  </sheetViews>
  <sheetFormatPr defaultRowHeight="16.3" x14ac:dyDescent="0.4"/>
  <cols>
    <col min="1" max="1" width="17.46484375" customWidth="1"/>
    <col min="6" max="6" width="16.19921875" customWidth="1"/>
    <col min="9" max="9" width="40" customWidth="1"/>
    <col min="11" max="11" width="23.33203125" customWidth="1"/>
  </cols>
  <sheetData>
    <row r="1" spans="1:12" ht="16.75" thickBot="1" x14ac:dyDescent="0.45">
      <c r="A1" s="5" t="s">
        <v>60</v>
      </c>
      <c r="K1" s="59" t="s">
        <v>406</v>
      </c>
    </row>
    <row r="2" spans="1:12" ht="16.75" thickBot="1" x14ac:dyDescent="0.45">
      <c r="A2" s="5" t="s">
        <v>61</v>
      </c>
      <c r="D2" t="s">
        <v>345</v>
      </c>
      <c r="F2" s="2" t="s">
        <v>416</v>
      </c>
      <c r="K2" t="s">
        <v>401</v>
      </c>
    </row>
    <row r="3" spans="1:12" ht="16.75" thickBot="1" x14ac:dyDescent="0.45">
      <c r="A3" s="5" t="s">
        <v>88</v>
      </c>
      <c r="D3" t="s">
        <v>346</v>
      </c>
      <c r="F3" s="2" t="s">
        <v>417</v>
      </c>
      <c r="K3" t="s">
        <v>402</v>
      </c>
    </row>
    <row r="4" spans="1:12" ht="16.75" thickBot="1" x14ac:dyDescent="0.45">
      <c r="A4" s="5" t="s">
        <v>62</v>
      </c>
      <c r="F4" s="2" t="s">
        <v>418</v>
      </c>
      <c r="K4" t="s">
        <v>347</v>
      </c>
    </row>
    <row r="5" spans="1:12" ht="16.75" thickBot="1" x14ac:dyDescent="0.45">
      <c r="A5" s="5" t="s">
        <v>63</v>
      </c>
      <c r="F5" s="2" t="s">
        <v>419</v>
      </c>
      <c r="I5" s="1" t="s">
        <v>332</v>
      </c>
      <c r="K5" t="s">
        <v>403</v>
      </c>
    </row>
    <row r="6" spans="1:12" ht="16.75" thickBot="1" x14ac:dyDescent="0.45">
      <c r="A6" s="5" t="s">
        <v>64</v>
      </c>
      <c r="F6" s="2" t="s">
        <v>420</v>
      </c>
      <c r="I6" s="1" t="s">
        <v>333</v>
      </c>
      <c r="K6" t="s">
        <v>348</v>
      </c>
      <c r="L6" t="str">
        <f ca="1">OFFSET($K$1,MATCH('ĐIỀN THÔNG TIN'!$B$3&amp;"*",DSTIEUBANG,0)-1,0,COUNTIF(DSTIEUBANG,'ĐIỀN THÔNG TIN'!$B$3&amp;"*"),1)</f>
        <v>Arizona (AZ)</v>
      </c>
    </row>
    <row r="7" spans="1:12" ht="16.75" thickBot="1" x14ac:dyDescent="0.45">
      <c r="A7" s="6" t="s">
        <v>65</v>
      </c>
      <c r="F7" s="2" t="s">
        <v>421</v>
      </c>
      <c r="I7" s="1" t="s">
        <v>334</v>
      </c>
      <c r="K7" t="s">
        <v>404</v>
      </c>
    </row>
    <row r="8" spans="1:12" ht="16.75" thickBot="1" x14ac:dyDescent="0.45">
      <c r="A8" s="5" t="s">
        <v>66</v>
      </c>
      <c r="F8" s="2" t="s">
        <v>422</v>
      </c>
      <c r="K8" t="s">
        <v>405</v>
      </c>
    </row>
    <row r="9" spans="1:12" ht="16.75" thickBot="1" x14ac:dyDescent="0.45">
      <c r="A9" s="5" t="s">
        <v>67</v>
      </c>
      <c r="F9" s="2" t="s">
        <v>423</v>
      </c>
      <c r="K9" t="s">
        <v>349</v>
      </c>
    </row>
    <row r="10" spans="1:12" ht="16.75" thickBot="1" x14ac:dyDescent="0.45">
      <c r="A10" s="6" t="s">
        <v>68</v>
      </c>
      <c r="F10" s="2" t="s">
        <v>424</v>
      </c>
      <c r="K10" t="s">
        <v>350</v>
      </c>
    </row>
    <row r="11" spans="1:12" ht="16.75" thickBot="1" x14ac:dyDescent="0.45">
      <c r="A11" s="5" t="s">
        <v>69</v>
      </c>
      <c r="F11" s="2" t="s">
        <v>425</v>
      </c>
      <c r="K11" t="s">
        <v>351</v>
      </c>
    </row>
    <row r="12" spans="1:12" ht="16.75" thickBot="1" x14ac:dyDescent="0.45">
      <c r="A12" s="6" t="s">
        <v>70</v>
      </c>
      <c r="F12" s="2" t="s">
        <v>426</v>
      </c>
      <c r="I12" s="3" t="s">
        <v>323</v>
      </c>
      <c r="K12" t="s">
        <v>352</v>
      </c>
    </row>
    <row r="13" spans="1:12" ht="16.75" thickBot="1" x14ac:dyDescent="0.45">
      <c r="A13" s="5" t="s">
        <v>71</v>
      </c>
      <c r="F13" s="2" t="s">
        <v>427</v>
      </c>
      <c r="I13" s="3" t="s">
        <v>57</v>
      </c>
      <c r="K13" t="s">
        <v>353</v>
      </c>
    </row>
    <row r="14" spans="1:12" ht="16.75" thickBot="1" x14ac:dyDescent="0.45">
      <c r="A14" s="6" t="s">
        <v>72</v>
      </c>
      <c r="F14" s="2" t="s">
        <v>428</v>
      </c>
      <c r="I14" s="3" t="s">
        <v>321</v>
      </c>
      <c r="K14" t="s">
        <v>354</v>
      </c>
    </row>
    <row r="15" spans="1:12" ht="16.75" thickBot="1" x14ac:dyDescent="0.45">
      <c r="A15" s="6" t="s">
        <v>73</v>
      </c>
      <c r="F15" s="2" t="s">
        <v>429</v>
      </c>
      <c r="I15" s="1"/>
      <c r="K15" t="s">
        <v>355</v>
      </c>
    </row>
    <row r="16" spans="1:12" ht="16.75" thickBot="1" x14ac:dyDescent="0.45">
      <c r="A16" s="5" t="s">
        <v>74</v>
      </c>
      <c r="F16" s="2" t="s">
        <v>430</v>
      </c>
      <c r="I16" s="1"/>
      <c r="K16" t="s">
        <v>356</v>
      </c>
    </row>
    <row r="17" spans="1:11" ht="16.75" thickBot="1" x14ac:dyDescent="0.45">
      <c r="A17" s="5" t="s">
        <v>75</v>
      </c>
      <c r="F17" s="2" t="s">
        <v>431</v>
      </c>
      <c r="I17" s="1"/>
      <c r="K17" t="s">
        <v>357</v>
      </c>
    </row>
    <row r="18" spans="1:11" ht="16.75" thickBot="1" x14ac:dyDescent="0.45">
      <c r="A18" s="6" t="s">
        <v>76</v>
      </c>
      <c r="F18" s="2" t="s">
        <v>432</v>
      </c>
      <c r="I18" s="4" t="s">
        <v>434</v>
      </c>
      <c r="K18" t="s">
        <v>358</v>
      </c>
    </row>
    <row r="19" spans="1:11" ht="16.75" thickBot="1" x14ac:dyDescent="0.45">
      <c r="A19" s="5" t="s">
        <v>77</v>
      </c>
      <c r="F19" s="2" t="s">
        <v>433</v>
      </c>
      <c r="I19" s="4" t="s">
        <v>435</v>
      </c>
      <c r="K19" t="s">
        <v>359</v>
      </c>
    </row>
    <row r="20" spans="1:11" ht="16.75" thickBot="1" x14ac:dyDescent="0.45">
      <c r="A20" s="6" t="s">
        <v>78</v>
      </c>
      <c r="I20" s="4" t="s">
        <v>436</v>
      </c>
      <c r="K20" t="s">
        <v>360</v>
      </c>
    </row>
    <row r="21" spans="1:11" ht="30.45" thickBot="1" x14ac:dyDescent="0.45">
      <c r="A21" s="5" t="s">
        <v>79</v>
      </c>
      <c r="I21" s="1"/>
      <c r="K21" t="s">
        <v>361</v>
      </c>
    </row>
    <row r="22" spans="1:11" ht="16.75" thickBot="1" x14ac:dyDescent="0.45">
      <c r="A22" s="6" t="s">
        <v>80</v>
      </c>
      <c r="I22" s="1"/>
      <c r="K22" t="s">
        <v>362</v>
      </c>
    </row>
    <row r="23" spans="1:11" ht="16.75" thickBot="1" x14ac:dyDescent="0.45">
      <c r="A23" s="5" t="s">
        <v>81</v>
      </c>
      <c r="I23" s="1" t="s">
        <v>437</v>
      </c>
      <c r="K23" t="s">
        <v>363</v>
      </c>
    </row>
    <row r="24" spans="1:11" ht="16.75" thickBot="1" x14ac:dyDescent="0.45">
      <c r="A24" s="6" t="s">
        <v>82</v>
      </c>
      <c r="I24" s="1" t="s">
        <v>438</v>
      </c>
      <c r="K24" t="s">
        <v>364</v>
      </c>
    </row>
    <row r="25" spans="1:11" ht="16.75" thickBot="1" x14ac:dyDescent="0.45">
      <c r="A25" s="5" t="s">
        <v>83</v>
      </c>
      <c r="I25" s="1" t="s">
        <v>439</v>
      </c>
      <c r="K25" t="s">
        <v>365</v>
      </c>
    </row>
    <row r="26" spans="1:11" ht="30.45" thickBot="1" x14ac:dyDescent="0.45">
      <c r="A26" s="6" t="s">
        <v>84</v>
      </c>
      <c r="I26" s="1" t="s">
        <v>440</v>
      </c>
      <c r="K26" t="s">
        <v>366</v>
      </c>
    </row>
    <row r="27" spans="1:11" ht="16.75" thickBot="1" x14ac:dyDescent="0.45">
      <c r="A27" s="5" t="s">
        <v>85</v>
      </c>
      <c r="I27" s="1" t="s">
        <v>441</v>
      </c>
      <c r="K27" t="s">
        <v>367</v>
      </c>
    </row>
    <row r="28" spans="1:11" ht="16.75" thickBot="1" x14ac:dyDescent="0.45">
      <c r="A28" s="6" t="s">
        <v>86</v>
      </c>
      <c r="I28" s="1" t="s">
        <v>442</v>
      </c>
      <c r="K28" t="s">
        <v>368</v>
      </c>
    </row>
    <row r="29" spans="1:11" ht="16.75" thickBot="1" x14ac:dyDescent="0.45">
      <c r="A29" s="5" t="s">
        <v>87</v>
      </c>
      <c r="I29" s="1" t="s">
        <v>443</v>
      </c>
      <c r="K29" t="s">
        <v>369</v>
      </c>
    </row>
    <row r="30" spans="1:11" ht="16.75" thickBot="1" x14ac:dyDescent="0.45">
      <c r="A30" s="6" t="s">
        <v>88</v>
      </c>
      <c r="I30" s="1" t="s">
        <v>444</v>
      </c>
      <c r="K30" t="s">
        <v>370</v>
      </c>
    </row>
    <row r="31" spans="1:11" ht="16.75" thickBot="1" x14ac:dyDescent="0.45">
      <c r="A31" s="6" t="s">
        <v>89</v>
      </c>
      <c r="I31" s="1" t="s">
        <v>445</v>
      </c>
      <c r="K31" t="s">
        <v>371</v>
      </c>
    </row>
    <row r="32" spans="1:11" ht="16.75" thickBot="1" x14ac:dyDescent="0.45">
      <c r="A32" s="5" t="s">
        <v>90</v>
      </c>
      <c r="I32" s="1" t="s">
        <v>446</v>
      </c>
      <c r="K32" t="s">
        <v>372</v>
      </c>
    </row>
    <row r="33" spans="1:11" ht="16.75" thickBot="1" x14ac:dyDescent="0.45">
      <c r="A33" s="6" t="s">
        <v>91</v>
      </c>
      <c r="K33" t="s">
        <v>373</v>
      </c>
    </row>
    <row r="34" spans="1:11" ht="16.75" thickBot="1" x14ac:dyDescent="0.45">
      <c r="A34" s="5" t="s">
        <v>92</v>
      </c>
      <c r="K34" t="s">
        <v>374</v>
      </c>
    </row>
    <row r="35" spans="1:11" ht="16.75" thickBot="1" x14ac:dyDescent="0.45">
      <c r="A35" s="6" t="s">
        <v>93</v>
      </c>
      <c r="K35" t="s">
        <v>375</v>
      </c>
    </row>
    <row r="36" spans="1:11" ht="16.75" thickBot="1" x14ac:dyDescent="0.45">
      <c r="A36" s="5" t="s">
        <v>94</v>
      </c>
      <c r="K36" t="s">
        <v>376</v>
      </c>
    </row>
    <row r="37" spans="1:11" ht="16.75" thickBot="1" x14ac:dyDescent="0.45">
      <c r="A37" s="6" t="s">
        <v>95</v>
      </c>
      <c r="K37" t="s">
        <v>377</v>
      </c>
    </row>
    <row r="38" spans="1:11" ht="16.75" thickBot="1" x14ac:dyDescent="0.45">
      <c r="A38" s="5" t="s">
        <v>96</v>
      </c>
      <c r="K38" t="s">
        <v>379</v>
      </c>
    </row>
    <row r="39" spans="1:11" ht="16.75" thickBot="1" x14ac:dyDescent="0.45">
      <c r="A39" s="6" t="s">
        <v>97</v>
      </c>
      <c r="K39" t="s">
        <v>378</v>
      </c>
    </row>
    <row r="40" spans="1:11" ht="16.75" thickBot="1" x14ac:dyDescent="0.45">
      <c r="A40" s="5" t="s">
        <v>98</v>
      </c>
      <c r="K40" t="s">
        <v>380</v>
      </c>
    </row>
    <row r="41" spans="1:11" ht="16.75" thickBot="1" x14ac:dyDescent="0.45">
      <c r="A41" s="6" t="s">
        <v>99</v>
      </c>
      <c r="K41" t="s">
        <v>381</v>
      </c>
    </row>
    <row r="42" spans="1:11" ht="16.75" thickBot="1" x14ac:dyDescent="0.45">
      <c r="A42" s="5" t="s">
        <v>100</v>
      </c>
      <c r="K42" t="s">
        <v>382</v>
      </c>
    </row>
    <row r="43" spans="1:11" ht="30.45" thickBot="1" x14ac:dyDescent="0.45">
      <c r="A43" s="6" t="s">
        <v>101</v>
      </c>
      <c r="K43" t="s">
        <v>383</v>
      </c>
    </row>
    <row r="44" spans="1:11" ht="16.75" thickBot="1" x14ac:dyDescent="0.45">
      <c r="A44" s="5" t="s">
        <v>102</v>
      </c>
      <c r="K44" t="s">
        <v>384</v>
      </c>
    </row>
    <row r="45" spans="1:11" ht="16.75" thickBot="1" x14ac:dyDescent="0.45">
      <c r="A45" s="6" t="s">
        <v>103</v>
      </c>
      <c r="K45" t="s">
        <v>385</v>
      </c>
    </row>
    <row r="46" spans="1:11" ht="16.75" thickBot="1" x14ac:dyDescent="0.45">
      <c r="A46" s="5" t="s">
        <v>104</v>
      </c>
      <c r="K46" t="s">
        <v>386</v>
      </c>
    </row>
    <row r="47" spans="1:11" ht="45.45" thickBot="1" x14ac:dyDescent="0.45">
      <c r="A47" s="6" t="s">
        <v>105</v>
      </c>
      <c r="K47" t="s">
        <v>387</v>
      </c>
    </row>
    <row r="48" spans="1:11" ht="30.45" thickBot="1" x14ac:dyDescent="0.45">
      <c r="A48" s="5" t="s">
        <v>106</v>
      </c>
      <c r="K48" t="s">
        <v>388</v>
      </c>
    </row>
    <row r="49" spans="1:11" ht="16.75" thickBot="1" x14ac:dyDescent="0.45">
      <c r="A49" s="6" t="s">
        <v>107</v>
      </c>
      <c r="K49" t="s">
        <v>389</v>
      </c>
    </row>
    <row r="50" spans="1:11" ht="16.75" thickBot="1" x14ac:dyDescent="0.45">
      <c r="A50" s="5" t="s">
        <v>108</v>
      </c>
      <c r="K50" t="s">
        <v>390</v>
      </c>
    </row>
    <row r="51" spans="1:11" ht="16.75" thickBot="1" x14ac:dyDescent="0.45">
      <c r="A51" s="6" t="s">
        <v>109</v>
      </c>
      <c r="K51" t="s">
        <v>391</v>
      </c>
    </row>
    <row r="52" spans="1:11" ht="16.75" thickBot="1" x14ac:dyDescent="0.45">
      <c r="A52" s="6" t="s">
        <v>110</v>
      </c>
      <c r="K52" t="s">
        <v>392</v>
      </c>
    </row>
    <row r="53" spans="1:11" ht="16.75" thickBot="1" x14ac:dyDescent="0.45">
      <c r="A53" s="6" t="s">
        <v>111</v>
      </c>
      <c r="K53" t="s">
        <v>393</v>
      </c>
    </row>
    <row r="54" spans="1:11" ht="16.75" thickBot="1" x14ac:dyDescent="0.45">
      <c r="A54" s="5" t="s">
        <v>112</v>
      </c>
      <c r="K54" t="s">
        <v>394</v>
      </c>
    </row>
    <row r="55" spans="1:11" ht="45.45" thickBot="1" x14ac:dyDescent="0.45">
      <c r="A55" s="6" t="s">
        <v>113</v>
      </c>
    </row>
    <row r="56" spans="1:11" ht="16.75" thickBot="1" x14ac:dyDescent="0.45">
      <c r="A56" s="5" t="s">
        <v>114</v>
      </c>
      <c r="K56" t="s">
        <v>395</v>
      </c>
    </row>
    <row r="57" spans="1:11" ht="16.75" thickBot="1" x14ac:dyDescent="0.45">
      <c r="A57" s="6" t="s">
        <v>115</v>
      </c>
      <c r="K57" t="s">
        <v>396</v>
      </c>
    </row>
    <row r="58" spans="1:11" ht="30.45" thickBot="1" x14ac:dyDescent="0.45">
      <c r="A58" s="6" t="s">
        <v>116</v>
      </c>
      <c r="K58" t="s">
        <v>397</v>
      </c>
    </row>
    <row r="59" spans="1:11" ht="45.45" thickBot="1" x14ac:dyDescent="0.45">
      <c r="A59" s="5" t="s">
        <v>117</v>
      </c>
      <c r="K59" t="s">
        <v>398</v>
      </c>
    </row>
    <row r="60" spans="1:11" ht="16.75" thickBot="1" x14ac:dyDescent="0.45">
      <c r="A60" s="6" t="s">
        <v>118</v>
      </c>
      <c r="K60" t="s">
        <v>399</v>
      </c>
    </row>
    <row r="61" spans="1:11" ht="16.75" thickBot="1" x14ac:dyDescent="0.45">
      <c r="A61" s="5" t="s">
        <v>119</v>
      </c>
      <c r="K61" t="s">
        <v>400</v>
      </c>
    </row>
    <row r="62" spans="1:11" ht="16.75" thickBot="1" x14ac:dyDescent="0.45">
      <c r="A62" s="6" t="s">
        <v>120</v>
      </c>
    </row>
    <row r="63" spans="1:11" ht="45.45" thickBot="1" x14ac:dyDescent="0.45">
      <c r="A63" s="5" t="s">
        <v>121</v>
      </c>
    </row>
    <row r="64" spans="1:11" ht="16.75" thickBot="1" x14ac:dyDescent="0.45">
      <c r="A64" s="6" t="s">
        <v>122</v>
      </c>
    </row>
    <row r="65" spans="1:1" ht="16.75" thickBot="1" x14ac:dyDescent="0.45">
      <c r="A65" s="5" t="s">
        <v>123</v>
      </c>
    </row>
    <row r="66" spans="1:1" ht="16.75" thickBot="1" x14ac:dyDescent="0.45">
      <c r="A66" s="6" t="s">
        <v>124</v>
      </c>
    </row>
    <row r="67" spans="1:1" ht="16.75" thickBot="1" x14ac:dyDescent="0.45">
      <c r="A67" s="5" t="s">
        <v>125</v>
      </c>
    </row>
    <row r="68" spans="1:1" ht="16.75" thickBot="1" x14ac:dyDescent="0.45">
      <c r="A68" s="6" t="s">
        <v>126</v>
      </c>
    </row>
    <row r="69" spans="1:1" ht="16.75" thickBot="1" x14ac:dyDescent="0.45">
      <c r="A69" s="5" t="s">
        <v>127</v>
      </c>
    </row>
    <row r="70" spans="1:1" ht="16.75" thickBot="1" x14ac:dyDescent="0.45">
      <c r="A70" s="6" t="s">
        <v>128</v>
      </c>
    </row>
    <row r="71" spans="1:1" ht="16.75" thickBot="1" x14ac:dyDescent="0.45">
      <c r="A71" s="5" t="s">
        <v>129</v>
      </c>
    </row>
    <row r="72" spans="1:1" ht="30.45" thickBot="1" x14ac:dyDescent="0.45">
      <c r="A72" s="6" t="s">
        <v>130</v>
      </c>
    </row>
    <row r="73" spans="1:1" ht="16.75" thickBot="1" x14ac:dyDescent="0.45">
      <c r="A73" s="5" t="s">
        <v>131</v>
      </c>
    </row>
    <row r="74" spans="1:1" ht="16.75" thickBot="1" x14ac:dyDescent="0.45">
      <c r="A74" s="6" t="s">
        <v>132</v>
      </c>
    </row>
    <row r="75" spans="1:1" ht="16.75" thickBot="1" x14ac:dyDescent="0.45">
      <c r="A75" s="5" t="s">
        <v>133</v>
      </c>
    </row>
    <row r="76" spans="1:1" ht="30.45" thickBot="1" x14ac:dyDescent="0.45">
      <c r="A76" s="6" t="s">
        <v>134</v>
      </c>
    </row>
    <row r="77" spans="1:1" ht="16.75" thickBot="1" x14ac:dyDescent="0.45">
      <c r="A77" s="5" t="s">
        <v>135</v>
      </c>
    </row>
    <row r="78" spans="1:1" ht="16.75" thickBot="1" x14ac:dyDescent="0.45">
      <c r="A78" s="6" t="s">
        <v>136</v>
      </c>
    </row>
    <row r="79" spans="1:1" ht="16.75" thickBot="1" x14ac:dyDescent="0.45">
      <c r="A79" s="5" t="s">
        <v>137</v>
      </c>
    </row>
    <row r="80" spans="1:1" ht="45.45" thickBot="1" x14ac:dyDescent="0.45">
      <c r="A80" s="6" t="s">
        <v>138</v>
      </c>
    </row>
    <row r="81" spans="1:1" ht="16.75" thickBot="1" x14ac:dyDescent="0.45">
      <c r="A81" s="5" t="s">
        <v>139</v>
      </c>
    </row>
    <row r="82" spans="1:1" ht="16.75" thickBot="1" x14ac:dyDescent="0.45">
      <c r="A82" s="6" t="s">
        <v>140</v>
      </c>
    </row>
    <row r="83" spans="1:1" ht="16.75" thickBot="1" x14ac:dyDescent="0.45">
      <c r="A83" s="5" t="s">
        <v>141</v>
      </c>
    </row>
    <row r="84" spans="1:1" ht="30.45" thickBot="1" x14ac:dyDescent="0.45">
      <c r="A84" s="6" t="s">
        <v>142</v>
      </c>
    </row>
    <row r="85" spans="1:1" ht="45.45" thickBot="1" x14ac:dyDescent="0.45">
      <c r="A85" s="5" t="s">
        <v>143</v>
      </c>
    </row>
    <row r="86" spans="1:1" ht="16.75" thickBot="1" x14ac:dyDescent="0.45">
      <c r="A86" s="6" t="s">
        <v>144</v>
      </c>
    </row>
    <row r="87" spans="1:1" ht="16.75" thickBot="1" x14ac:dyDescent="0.45">
      <c r="A87" s="5" t="s">
        <v>145</v>
      </c>
    </row>
    <row r="88" spans="1:1" ht="16.75" thickBot="1" x14ac:dyDescent="0.45">
      <c r="A88" s="6" t="s">
        <v>146</v>
      </c>
    </row>
    <row r="89" spans="1:1" ht="16.75" thickBot="1" x14ac:dyDescent="0.45">
      <c r="A89" s="5" t="s">
        <v>147</v>
      </c>
    </row>
    <row r="90" spans="1:1" ht="16.75" thickBot="1" x14ac:dyDescent="0.45">
      <c r="A90" s="6" t="s">
        <v>148</v>
      </c>
    </row>
    <row r="91" spans="1:1" ht="16.75" thickBot="1" x14ac:dyDescent="0.45">
      <c r="A91" s="5" t="s">
        <v>149</v>
      </c>
    </row>
    <row r="92" spans="1:1" ht="16.75" thickBot="1" x14ac:dyDescent="0.45">
      <c r="A92" s="6" t="s">
        <v>150</v>
      </c>
    </row>
    <row r="93" spans="1:1" ht="16.75" thickBot="1" x14ac:dyDescent="0.45">
      <c r="A93" s="5" t="s">
        <v>151</v>
      </c>
    </row>
    <row r="94" spans="1:1" ht="16.75" thickBot="1" x14ac:dyDescent="0.45">
      <c r="A94" s="6" t="s">
        <v>152</v>
      </c>
    </row>
    <row r="95" spans="1:1" ht="16.75" thickBot="1" x14ac:dyDescent="0.45">
      <c r="A95" s="5" t="s">
        <v>153</v>
      </c>
    </row>
    <row r="96" spans="1:1" ht="16.75" thickBot="1" x14ac:dyDescent="0.45">
      <c r="A96" s="6" t="s">
        <v>154</v>
      </c>
    </row>
    <row r="97" spans="1:1" ht="16.75" thickBot="1" x14ac:dyDescent="0.45">
      <c r="A97" s="5" t="s">
        <v>155</v>
      </c>
    </row>
    <row r="98" spans="1:1" ht="16.75" thickBot="1" x14ac:dyDescent="0.45">
      <c r="A98" s="6" t="s">
        <v>156</v>
      </c>
    </row>
    <row r="99" spans="1:1" ht="16.75" thickBot="1" x14ac:dyDescent="0.45">
      <c r="A99" s="5" t="s">
        <v>157</v>
      </c>
    </row>
    <row r="100" spans="1:1" ht="16.75" thickBot="1" x14ac:dyDescent="0.45">
      <c r="A100" s="6" t="s">
        <v>158</v>
      </c>
    </row>
    <row r="101" spans="1:1" ht="16.75" thickBot="1" x14ac:dyDescent="0.45">
      <c r="A101" s="5" t="s">
        <v>159</v>
      </c>
    </row>
    <row r="102" spans="1:1" ht="45.45" thickBot="1" x14ac:dyDescent="0.45">
      <c r="A102" s="6" t="s">
        <v>160</v>
      </c>
    </row>
    <row r="103" spans="1:1" ht="45.45" thickBot="1" x14ac:dyDescent="0.45">
      <c r="A103" s="5" t="s">
        <v>161</v>
      </c>
    </row>
    <row r="104" spans="1:1" ht="16.75" thickBot="1" x14ac:dyDescent="0.45">
      <c r="A104" s="6" t="s">
        <v>162</v>
      </c>
    </row>
    <row r="105" spans="1:1" ht="16.75" thickBot="1" x14ac:dyDescent="0.45">
      <c r="A105" s="6" t="s">
        <v>163</v>
      </c>
    </row>
    <row r="106" spans="1:1" ht="16.75" thickBot="1" x14ac:dyDescent="0.45">
      <c r="A106" s="5" t="s">
        <v>164</v>
      </c>
    </row>
    <row r="107" spans="1:1" ht="30.45" thickBot="1" x14ac:dyDescent="0.45">
      <c r="A107" s="6" t="s">
        <v>165</v>
      </c>
    </row>
    <row r="108" spans="1:1" ht="16.75" thickBot="1" x14ac:dyDescent="0.45">
      <c r="A108" s="5" t="s">
        <v>166</v>
      </c>
    </row>
    <row r="109" spans="1:1" ht="16.75" thickBot="1" x14ac:dyDescent="0.45">
      <c r="A109" s="6" t="s">
        <v>167</v>
      </c>
    </row>
    <row r="110" spans="1:1" ht="16.75" thickBot="1" x14ac:dyDescent="0.45">
      <c r="A110" s="5" t="s">
        <v>168</v>
      </c>
    </row>
    <row r="111" spans="1:1" ht="16.75" thickBot="1" x14ac:dyDescent="0.45">
      <c r="A111" s="6" t="s">
        <v>169</v>
      </c>
    </row>
    <row r="112" spans="1:1" ht="16.75" thickBot="1" x14ac:dyDescent="0.45">
      <c r="A112" s="5" t="s">
        <v>170</v>
      </c>
    </row>
    <row r="113" spans="1:1" ht="16.75" thickBot="1" x14ac:dyDescent="0.45">
      <c r="A113" s="5" t="s">
        <v>171</v>
      </c>
    </row>
    <row r="114" spans="1:1" ht="16.75" thickBot="1" x14ac:dyDescent="0.45">
      <c r="A114" s="6" t="s">
        <v>172</v>
      </c>
    </row>
    <row r="115" spans="1:1" ht="16.75" thickBot="1" x14ac:dyDescent="0.45">
      <c r="A115" s="5" t="s">
        <v>173</v>
      </c>
    </row>
    <row r="116" spans="1:1" ht="16.75" thickBot="1" x14ac:dyDescent="0.45">
      <c r="A116" s="6" t="s">
        <v>174</v>
      </c>
    </row>
    <row r="117" spans="1:1" ht="60.45" thickBot="1" x14ac:dyDescent="0.45">
      <c r="A117" s="5" t="s">
        <v>175</v>
      </c>
    </row>
    <row r="118" spans="1:1" ht="30.45" thickBot="1" x14ac:dyDescent="0.45">
      <c r="A118" s="6" t="s">
        <v>176</v>
      </c>
    </row>
    <row r="119" spans="1:1" ht="16.75" thickBot="1" x14ac:dyDescent="0.45">
      <c r="A119" s="5" t="s">
        <v>177</v>
      </c>
    </row>
    <row r="120" spans="1:1" ht="16.75" thickBot="1" x14ac:dyDescent="0.45">
      <c r="A120" s="6" t="s">
        <v>178</v>
      </c>
    </row>
    <row r="121" spans="1:1" ht="45.45" thickBot="1" x14ac:dyDescent="0.45">
      <c r="A121" s="5" t="s">
        <v>179</v>
      </c>
    </row>
    <row r="122" spans="1:1" ht="16.75" thickBot="1" x14ac:dyDescent="0.45">
      <c r="A122" s="6" t="s">
        <v>180</v>
      </c>
    </row>
    <row r="123" spans="1:1" ht="16.75" thickBot="1" x14ac:dyDescent="0.45">
      <c r="A123" s="5" t="s">
        <v>181</v>
      </c>
    </row>
    <row r="124" spans="1:1" ht="16.75" thickBot="1" x14ac:dyDescent="0.45">
      <c r="A124" s="6" t="s">
        <v>182</v>
      </c>
    </row>
    <row r="125" spans="1:1" ht="16.75" thickBot="1" x14ac:dyDescent="0.45">
      <c r="A125" s="5" t="s">
        <v>183</v>
      </c>
    </row>
    <row r="126" spans="1:1" ht="30.45" thickBot="1" x14ac:dyDescent="0.45">
      <c r="A126" s="6" t="s">
        <v>184</v>
      </c>
    </row>
    <row r="127" spans="1:1" ht="16.75" thickBot="1" x14ac:dyDescent="0.45">
      <c r="A127" s="5" t="s">
        <v>185</v>
      </c>
    </row>
    <row r="128" spans="1:1" ht="16.75" thickBot="1" x14ac:dyDescent="0.45">
      <c r="A128" s="6" t="s">
        <v>186</v>
      </c>
    </row>
    <row r="129" spans="1:1" ht="16.75" thickBot="1" x14ac:dyDescent="0.45">
      <c r="A129" s="5" t="s">
        <v>187</v>
      </c>
    </row>
    <row r="130" spans="1:1" ht="16.75" thickBot="1" x14ac:dyDescent="0.45">
      <c r="A130" s="6" t="s">
        <v>188</v>
      </c>
    </row>
    <row r="131" spans="1:1" ht="60.45" thickBot="1" x14ac:dyDescent="0.45">
      <c r="A131" s="5" t="s">
        <v>189</v>
      </c>
    </row>
    <row r="132" spans="1:1" ht="16.75" thickBot="1" x14ac:dyDescent="0.45">
      <c r="A132" s="6" t="s">
        <v>190</v>
      </c>
    </row>
    <row r="133" spans="1:1" ht="16.75" thickBot="1" x14ac:dyDescent="0.45">
      <c r="A133" s="5" t="s">
        <v>191</v>
      </c>
    </row>
    <row r="134" spans="1:1" ht="16.75" thickBot="1" x14ac:dyDescent="0.45">
      <c r="A134" s="6" t="s">
        <v>192</v>
      </c>
    </row>
    <row r="135" spans="1:1" ht="16.75" thickBot="1" x14ac:dyDescent="0.45">
      <c r="A135" s="5" t="s">
        <v>193</v>
      </c>
    </row>
    <row r="136" spans="1:1" ht="16.75" thickBot="1" x14ac:dyDescent="0.45">
      <c r="A136" s="6" t="s">
        <v>194</v>
      </c>
    </row>
    <row r="137" spans="1:1" ht="16.75" thickBot="1" x14ac:dyDescent="0.45">
      <c r="A137" s="5" t="s">
        <v>195</v>
      </c>
    </row>
    <row r="138" spans="1:1" ht="30.45" thickBot="1" x14ac:dyDescent="0.45">
      <c r="A138" s="6" t="s">
        <v>196</v>
      </c>
    </row>
    <row r="139" spans="1:1" ht="16.75" thickBot="1" x14ac:dyDescent="0.45">
      <c r="A139" s="5" t="s">
        <v>197</v>
      </c>
    </row>
    <row r="140" spans="1:1" ht="16.75" thickBot="1" x14ac:dyDescent="0.45">
      <c r="A140" s="6" t="s">
        <v>198</v>
      </c>
    </row>
    <row r="141" spans="1:1" ht="16.75" thickBot="1" x14ac:dyDescent="0.45">
      <c r="A141" s="5" t="s">
        <v>199</v>
      </c>
    </row>
    <row r="142" spans="1:1" ht="16.75" thickBot="1" x14ac:dyDescent="0.45">
      <c r="A142" s="6" t="s">
        <v>200</v>
      </c>
    </row>
    <row r="143" spans="1:1" ht="16.75" thickBot="1" x14ac:dyDescent="0.45">
      <c r="A143" s="5" t="s">
        <v>201</v>
      </c>
    </row>
    <row r="144" spans="1:1" ht="45.45" thickBot="1" x14ac:dyDescent="0.45">
      <c r="A144" s="6" t="s">
        <v>202</v>
      </c>
    </row>
    <row r="145" spans="1:1" ht="30.45" thickBot="1" x14ac:dyDescent="0.45">
      <c r="A145" s="5" t="s">
        <v>203</v>
      </c>
    </row>
    <row r="146" spans="1:1" ht="16.75" thickBot="1" x14ac:dyDescent="0.45">
      <c r="A146" s="6" t="s">
        <v>204</v>
      </c>
    </row>
    <row r="147" spans="1:1" ht="16.75" thickBot="1" x14ac:dyDescent="0.45">
      <c r="A147" s="5" t="s">
        <v>205</v>
      </c>
    </row>
    <row r="148" spans="1:1" ht="16.75" thickBot="1" x14ac:dyDescent="0.45">
      <c r="A148" s="6" t="s">
        <v>206</v>
      </c>
    </row>
    <row r="149" spans="1:1" ht="16.75" thickBot="1" x14ac:dyDescent="0.45">
      <c r="A149" s="5" t="s">
        <v>207</v>
      </c>
    </row>
    <row r="150" spans="1:1" ht="16.75" thickBot="1" x14ac:dyDescent="0.45">
      <c r="A150" s="6" t="s">
        <v>208</v>
      </c>
    </row>
    <row r="151" spans="1:1" ht="16.75" thickBot="1" x14ac:dyDescent="0.45">
      <c r="A151" s="5" t="s">
        <v>209</v>
      </c>
    </row>
    <row r="152" spans="1:1" ht="16.75" thickBot="1" x14ac:dyDescent="0.45">
      <c r="A152" s="6" t="s">
        <v>210</v>
      </c>
    </row>
    <row r="153" spans="1:1" ht="16.75" thickBot="1" x14ac:dyDescent="0.45">
      <c r="A153" s="5" t="s">
        <v>211</v>
      </c>
    </row>
    <row r="154" spans="1:1" ht="16.75" thickBot="1" x14ac:dyDescent="0.45">
      <c r="A154" s="6" t="s">
        <v>212</v>
      </c>
    </row>
    <row r="155" spans="1:1" ht="16.75" thickBot="1" x14ac:dyDescent="0.45">
      <c r="A155" s="5" t="s">
        <v>213</v>
      </c>
    </row>
    <row r="156" spans="1:1" ht="30.45" thickBot="1" x14ac:dyDescent="0.45">
      <c r="A156" s="6" t="s">
        <v>214</v>
      </c>
    </row>
    <row r="157" spans="1:1" ht="16.75" thickBot="1" x14ac:dyDescent="0.45">
      <c r="A157" s="5" t="s">
        <v>215</v>
      </c>
    </row>
    <row r="158" spans="1:1" ht="16.75" thickBot="1" x14ac:dyDescent="0.45">
      <c r="A158" s="6" t="s">
        <v>216</v>
      </c>
    </row>
    <row r="159" spans="1:1" ht="16.75" thickBot="1" x14ac:dyDescent="0.45">
      <c r="A159" s="5" t="s">
        <v>217</v>
      </c>
    </row>
    <row r="160" spans="1:1" ht="16.75" thickBot="1" x14ac:dyDescent="0.45">
      <c r="A160" s="6" t="s">
        <v>218</v>
      </c>
    </row>
    <row r="161" spans="1:1" ht="16.75" thickBot="1" x14ac:dyDescent="0.45">
      <c r="A161" s="5" t="s">
        <v>219</v>
      </c>
    </row>
    <row r="162" spans="1:1" ht="16.75" thickBot="1" x14ac:dyDescent="0.45">
      <c r="A162" s="6" t="s">
        <v>220</v>
      </c>
    </row>
    <row r="163" spans="1:1" ht="16.75" thickBot="1" x14ac:dyDescent="0.45">
      <c r="A163" s="5" t="s">
        <v>221</v>
      </c>
    </row>
    <row r="164" spans="1:1" ht="45.45" thickBot="1" x14ac:dyDescent="0.45">
      <c r="A164" s="6" t="s">
        <v>222</v>
      </c>
    </row>
    <row r="165" spans="1:1" ht="16.75" thickBot="1" x14ac:dyDescent="0.45">
      <c r="A165" s="5" t="s">
        <v>223</v>
      </c>
    </row>
    <row r="166" spans="1:1" ht="16.75" thickBot="1" x14ac:dyDescent="0.45">
      <c r="A166" s="6" t="s">
        <v>224</v>
      </c>
    </row>
    <row r="167" spans="1:1" ht="16.75" thickBot="1" x14ac:dyDescent="0.45">
      <c r="A167" s="5" t="s">
        <v>225</v>
      </c>
    </row>
    <row r="168" spans="1:1" ht="16.75" thickBot="1" x14ac:dyDescent="0.45">
      <c r="A168" s="6" t="s">
        <v>226</v>
      </c>
    </row>
    <row r="169" spans="1:1" ht="45.45" thickBot="1" x14ac:dyDescent="0.45">
      <c r="A169" s="5" t="s">
        <v>227</v>
      </c>
    </row>
    <row r="170" spans="1:1" ht="16.75" thickBot="1" x14ac:dyDescent="0.45">
      <c r="A170" s="6" t="s">
        <v>228</v>
      </c>
    </row>
    <row r="171" spans="1:1" ht="30.45" thickBot="1" x14ac:dyDescent="0.45">
      <c r="A171" s="5" t="s">
        <v>229</v>
      </c>
    </row>
    <row r="172" spans="1:1" ht="16.75" thickBot="1" x14ac:dyDescent="0.45">
      <c r="A172" s="6" t="s">
        <v>230</v>
      </c>
    </row>
    <row r="173" spans="1:1" ht="16.75" thickBot="1" x14ac:dyDescent="0.45">
      <c r="A173" s="5" t="s">
        <v>231</v>
      </c>
    </row>
    <row r="174" spans="1:1" ht="16.75" thickBot="1" x14ac:dyDescent="0.45">
      <c r="A174" s="5" t="s">
        <v>232</v>
      </c>
    </row>
    <row r="175" spans="1:1" ht="16.75" thickBot="1" x14ac:dyDescent="0.45">
      <c r="A175" s="6" t="s">
        <v>233</v>
      </c>
    </row>
    <row r="176" spans="1:1" ht="16.75" thickBot="1" x14ac:dyDescent="0.45">
      <c r="A176" s="5" t="s">
        <v>234</v>
      </c>
    </row>
    <row r="177" spans="1:1" ht="16.75" thickBot="1" x14ac:dyDescent="0.45">
      <c r="A177" s="6" t="s">
        <v>235</v>
      </c>
    </row>
    <row r="178" spans="1:1" ht="16.75" thickBot="1" x14ac:dyDescent="0.45">
      <c r="A178" s="5" t="s">
        <v>236</v>
      </c>
    </row>
    <row r="179" spans="1:1" ht="16.75" thickBot="1" x14ac:dyDescent="0.45">
      <c r="A179" s="6" t="s">
        <v>237</v>
      </c>
    </row>
    <row r="180" spans="1:1" ht="16.75" thickBot="1" x14ac:dyDescent="0.45">
      <c r="A180" s="5" t="s">
        <v>238</v>
      </c>
    </row>
    <row r="181" spans="1:1" ht="30.45" thickBot="1" x14ac:dyDescent="0.45">
      <c r="A181" s="6" t="s">
        <v>239</v>
      </c>
    </row>
    <row r="182" spans="1:1" ht="16.75" thickBot="1" x14ac:dyDescent="0.45">
      <c r="A182" s="5" t="s">
        <v>240</v>
      </c>
    </row>
    <row r="183" spans="1:1" ht="16.75" thickBot="1" x14ac:dyDescent="0.45">
      <c r="A183" s="6" t="s">
        <v>241</v>
      </c>
    </row>
    <row r="184" spans="1:1" ht="30.45" thickBot="1" x14ac:dyDescent="0.45">
      <c r="A184" s="5" t="s">
        <v>242</v>
      </c>
    </row>
    <row r="185" spans="1:1" ht="16.75" thickBot="1" x14ac:dyDescent="0.45">
      <c r="A185" s="6" t="s">
        <v>243</v>
      </c>
    </row>
    <row r="186" spans="1:1" ht="30.45" thickBot="1" x14ac:dyDescent="0.45">
      <c r="A186" s="5" t="s">
        <v>244</v>
      </c>
    </row>
    <row r="187" spans="1:1" ht="45.45" thickBot="1" x14ac:dyDescent="0.45">
      <c r="A187" s="6" t="s">
        <v>245</v>
      </c>
    </row>
    <row r="188" spans="1:1" ht="16.75" thickBot="1" x14ac:dyDescent="0.45">
      <c r="A188" s="5" t="s">
        <v>246</v>
      </c>
    </row>
    <row r="189" spans="1:1" ht="16.75" thickBot="1" x14ac:dyDescent="0.45">
      <c r="A189" s="6" t="s">
        <v>247</v>
      </c>
    </row>
    <row r="190" spans="1:1" ht="30.45" thickBot="1" x14ac:dyDescent="0.45">
      <c r="A190" s="5" t="s">
        <v>248</v>
      </c>
    </row>
    <row r="191" spans="1:1" ht="16.75" thickBot="1" x14ac:dyDescent="0.45">
      <c r="A191" s="6" t="s">
        <v>249</v>
      </c>
    </row>
    <row r="192" spans="1:1" ht="16.75" thickBot="1" x14ac:dyDescent="0.45">
      <c r="A192" s="5" t="s">
        <v>250</v>
      </c>
    </row>
    <row r="193" spans="1:1" ht="30.45" thickBot="1" x14ac:dyDescent="0.45">
      <c r="A193" s="6" t="s">
        <v>251</v>
      </c>
    </row>
    <row r="194" spans="1:1" ht="16.75" thickBot="1" x14ac:dyDescent="0.45">
      <c r="A194" s="5" t="s">
        <v>252</v>
      </c>
    </row>
    <row r="195" spans="1:1" ht="16.75" thickBot="1" x14ac:dyDescent="0.45">
      <c r="A195" s="6" t="s">
        <v>253</v>
      </c>
    </row>
    <row r="196" spans="1:1" ht="16.75" thickBot="1" x14ac:dyDescent="0.45">
      <c r="A196" s="6" t="s">
        <v>254</v>
      </c>
    </row>
    <row r="197" spans="1:1" ht="16.75" thickBot="1" x14ac:dyDescent="0.45">
      <c r="A197" s="5" t="s">
        <v>255</v>
      </c>
    </row>
    <row r="198" spans="1:1" ht="30.45" thickBot="1" x14ac:dyDescent="0.45">
      <c r="A198" s="6" t="s">
        <v>256</v>
      </c>
    </row>
    <row r="199" spans="1:1" ht="16.75" thickBot="1" x14ac:dyDescent="0.45">
      <c r="A199" s="5" t="s">
        <v>257</v>
      </c>
    </row>
    <row r="200" spans="1:1" ht="16.75" thickBot="1" x14ac:dyDescent="0.45">
      <c r="A200" s="6" t="s">
        <v>258</v>
      </c>
    </row>
    <row r="201" spans="1:1" ht="60.45" thickBot="1" x14ac:dyDescent="0.45">
      <c r="A201" s="5" t="s">
        <v>259</v>
      </c>
    </row>
    <row r="202" spans="1:1" ht="16.75" thickBot="1" x14ac:dyDescent="0.45">
      <c r="A202" s="6" t="s">
        <v>260</v>
      </c>
    </row>
    <row r="203" spans="1:1" ht="16.75" thickBot="1" x14ac:dyDescent="0.45">
      <c r="A203" s="5" t="s">
        <v>261</v>
      </c>
    </row>
    <row r="204" spans="1:1" ht="16.75" thickBot="1" x14ac:dyDescent="0.45">
      <c r="A204" s="6" t="s">
        <v>262</v>
      </c>
    </row>
    <row r="205" spans="1:1" ht="16.75" thickBot="1" x14ac:dyDescent="0.45">
      <c r="A205" s="5" t="s">
        <v>263</v>
      </c>
    </row>
    <row r="206" spans="1:1" ht="30.45" thickBot="1" x14ac:dyDescent="0.45">
      <c r="A206" s="6" t="s">
        <v>264</v>
      </c>
    </row>
    <row r="207" spans="1:1" ht="16.75" thickBot="1" x14ac:dyDescent="0.45">
      <c r="A207" s="5" t="s">
        <v>265</v>
      </c>
    </row>
    <row r="208" spans="1:1" ht="16.75" thickBot="1" x14ac:dyDescent="0.45">
      <c r="A208" s="6" t="s">
        <v>266</v>
      </c>
    </row>
    <row r="209" spans="1:1" ht="16.75" thickBot="1" x14ac:dyDescent="0.45">
      <c r="A209" s="5" t="s">
        <v>267</v>
      </c>
    </row>
    <row r="210" spans="1:1" ht="30.45" thickBot="1" x14ac:dyDescent="0.45">
      <c r="A210" s="6" t="s">
        <v>268</v>
      </c>
    </row>
    <row r="211" spans="1:1" ht="45.45" thickBot="1" x14ac:dyDescent="0.45">
      <c r="A211" s="5" t="s">
        <v>269</v>
      </c>
    </row>
    <row r="212" spans="1:1" ht="16.75" thickBot="1" x14ac:dyDescent="0.45">
      <c r="A212" s="6" t="s">
        <v>270</v>
      </c>
    </row>
    <row r="213" spans="1:1" ht="45.45" thickBot="1" x14ac:dyDescent="0.45">
      <c r="A213" s="5" t="s">
        <v>271</v>
      </c>
    </row>
    <row r="214" spans="1:1" ht="16.75" thickBot="1" x14ac:dyDescent="0.45">
      <c r="A214" s="6" t="s">
        <v>272</v>
      </c>
    </row>
    <row r="215" spans="1:1" ht="16.75" thickBot="1" x14ac:dyDescent="0.45">
      <c r="A215" s="5" t="s">
        <v>273</v>
      </c>
    </row>
    <row r="216" spans="1:1" ht="16.75" thickBot="1" x14ac:dyDescent="0.45">
      <c r="A216" s="6" t="s">
        <v>274</v>
      </c>
    </row>
    <row r="217" spans="1:1" ht="16.75" thickBot="1" x14ac:dyDescent="0.45">
      <c r="A217" s="5" t="s">
        <v>275</v>
      </c>
    </row>
    <row r="218" spans="1:1" ht="16.75" thickBot="1" x14ac:dyDescent="0.45">
      <c r="A218" s="6" t="s">
        <v>276</v>
      </c>
    </row>
    <row r="219" spans="1:1" ht="30.45" thickBot="1" x14ac:dyDescent="0.45">
      <c r="A219" s="5" t="s">
        <v>277</v>
      </c>
    </row>
    <row r="220" spans="1:1" ht="16.75" thickBot="1" x14ac:dyDescent="0.45">
      <c r="A220" s="6" t="s">
        <v>278</v>
      </c>
    </row>
    <row r="221" spans="1:1" ht="16.75" thickBot="1" x14ac:dyDescent="0.45">
      <c r="A221" s="5" t="s">
        <v>279</v>
      </c>
    </row>
    <row r="222" spans="1:1" ht="16.75" thickBot="1" x14ac:dyDescent="0.45">
      <c r="A222" s="6" t="s">
        <v>280</v>
      </c>
    </row>
    <row r="223" spans="1:1" ht="30.45" thickBot="1" x14ac:dyDescent="0.45">
      <c r="A223" s="5" t="s">
        <v>281</v>
      </c>
    </row>
    <row r="224" spans="1:1" ht="16.75" thickBot="1" x14ac:dyDescent="0.45">
      <c r="A224" s="6" t="s">
        <v>282</v>
      </c>
    </row>
    <row r="225" spans="1:1" ht="16.75" thickBot="1" x14ac:dyDescent="0.45">
      <c r="A225" s="5" t="s">
        <v>283</v>
      </c>
    </row>
    <row r="226" spans="1:1" ht="16.75" thickBot="1" x14ac:dyDescent="0.45">
      <c r="A226" s="6" t="s">
        <v>284</v>
      </c>
    </row>
    <row r="227" spans="1:1" ht="30.45" thickBot="1" x14ac:dyDescent="0.45">
      <c r="A227" s="5" t="s">
        <v>285</v>
      </c>
    </row>
    <row r="228" spans="1:1" ht="16.75" thickBot="1" x14ac:dyDescent="0.45">
      <c r="A228" s="6" t="s">
        <v>286</v>
      </c>
    </row>
    <row r="229" spans="1:1" ht="45.45" thickBot="1" x14ac:dyDescent="0.45">
      <c r="A229" s="6" t="s">
        <v>287</v>
      </c>
    </row>
    <row r="230" spans="1:1" ht="16.75" thickBot="1" x14ac:dyDescent="0.45">
      <c r="A230" s="5" t="s">
        <v>288</v>
      </c>
    </row>
    <row r="231" spans="1:1" ht="16.75" thickBot="1" x14ac:dyDescent="0.45">
      <c r="A231" s="6" t="s">
        <v>289</v>
      </c>
    </row>
    <row r="232" spans="1:1" ht="16.75" thickBot="1" x14ac:dyDescent="0.45">
      <c r="A232" s="5" t="s">
        <v>290</v>
      </c>
    </row>
    <row r="233" spans="1:1" ht="30.45" thickBot="1" x14ac:dyDescent="0.45">
      <c r="A233" s="7" t="s">
        <v>291</v>
      </c>
    </row>
    <row r="234" spans="1:1" ht="16.75" thickBot="1" x14ac:dyDescent="0.45">
      <c r="A234" s="5" t="s">
        <v>292</v>
      </c>
    </row>
    <row r="235" spans="1:1" ht="16.75" thickBot="1" x14ac:dyDescent="0.45">
      <c r="A235" s="6" t="s">
        <v>293</v>
      </c>
    </row>
    <row r="236" spans="1:1" ht="30.45" thickBot="1" x14ac:dyDescent="0.45">
      <c r="A236" s="5" t="s">
        <v>294</v>
      </c>
    </row>
    <row r="237" spans="1:1" ht="30.45" thickBot="1" x14ac:dyDescent="0.45">
      <c r="A237" s="6" t="s">
        <v>295</v>
      </c>
    </row>
    <row r="238" spans="1:1" ht="30.45" thickBot="1" x14ac:dyDescent="0.45">
      <c r="A238" s="5" t="s">
        <v>296</v>
      </c>
    </row>
    <row r="239" spans="1:1" ht="30.45" thickBot="1" x14ac:dyDescent="0.45">
      <c r="A239" s="6" t="s">
        <v>297</v>
      </c>
    </row>
    <row r="240" spans="1:1" ht="16.75" thickBot="1" x14ac:dyDescent="0.45">
      <c r="A240" s="5" t="s">
        <v>298</v>
      </c>
    </row>
    <row r="241" spans="1:1" ht="16.75" thickBot="1" x14ac:dyDescent="0.45">
      <c r="A241" s="6" t="s">
        <v>299</v>
      </c>
    </row>
    <row r="242" spans="1:1" ht="16.75" thickBot="1" x14ac:dyDescent="0.45">
      <c r="A242" s="5" t="s">
        <v>300</v>
      </c>
    </row>
    <row r="243" spans="1:1" x14ac:dyDescent="0.4">
      <c r="A243" s="8" t="s">
        <v>317</v>
      </c>
    </row>
  </sheetData>
  <sheetProtection formatCells="0"/>
  <sortState xmlns:xlrd2="http://schemas.microsoft.com/office/spreadsheetml/2017/richdata2" ref="I23:I32">
    <sortCondition ref="I23"/>
  </sortState>
  <pageMargins left="0.7" right="0.7" top="0.75" bottom="0.75" header="0.3" footer="0.3"/>
  <pageSetup orientation="portrait"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7</vt:i4>
      </vt:variant>
      <vt:variant>
        <vt:lpstr>Named Ranges</vt:lpstr>
      </vt:variant>
      <vt:variant>
        <vt:i4>2</vt:i4>
      </vt:variant>
    </vt:vector>
  </HeadingPairs>
  <TitlesOfParts>
    <vt:vector size="9" baseType="lpstr">
      <vt:lpstr>PHIẾU ACB (VN)</vt:lpstr>
      <vt:lpstr>PHIẾU ACB (NƯỚC NGOÀI)</vt:lpstr>
      <vt:lpstr>ĐIỀN THÔNG TIN</vt:lpstr>
      <vt:lpstr>MẪU CHI DÙM</vt:lpstr>
      <vt:lpstr>PHIẾU MSB (vn)</vt:lpstr>
      <vt:lpstr>PHIẾU MSB (nước ngoài)</vt:lpstr>
      <vt:lpstr>nháp</vt:lpstr>
      <vt:lpstr>'PHIẾU ACB (NƯỚC NGOÀI)'!Print_Area</vt:lpstr>
      <vt:lpstr>'PHIẾU ACB (VN)'!Print_Area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dongdawu@gmail.com</cp:lastModifiedBy>
  <cp:lastPrinted>2025-07-08T07:23:22Z</cp:lastPrinted>
  <dcterms:created xsi:type="dcterms:W3CDTF">2023-05-29T09:03:06Z</dcterms:created>
  <dcterms:modified xsi:type="dcterms:W3CDTF">2025-07-08T07:24:42Z</dcterms:modified>
</cp:coreProperties>
</file>